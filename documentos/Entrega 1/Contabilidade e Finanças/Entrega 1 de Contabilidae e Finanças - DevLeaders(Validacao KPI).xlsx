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22e3996cd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99a21866a0a74952"/>
    <x:sheet xmlns:r="http://schemas.openxmlformats.org/officeDocument/2006/relationships" name="Entradas" sheetId="2" r:id="R35a950f2d1064437"/>
    <x:sheet xmlns:r="http://schemas.openxmlformats.org/officeDocument/2006/relationships" name="KPIs" sheetId="3" r:id="Rc96cb684c2cb4f0f"/>
    <x:sheet xmlns:r="http://schemas.openxmlformats.org/officeDocument/2006/relationships" name="Validação" sheetId="4" r:id="Rd1adc2bce7dd4866"/>
  </x:sheets>
  <x:definedNames>
    <x:definedName name="CAC">Entradas!$E$18</x:definedName>
    <x:definedName name="LTV">Entradas!$E$19</x:definedName>
    <x:definedName name="TAXA">Entradas!$E$20</x:definedName>
    <x:definedName name="TOL">Entradas!$E$21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</x:font>
    <x:font>
      <x:b/>
      <x:sz val="12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/>
    <x:xf numFmtId="4" fontId="0" fillId="0" borderId="0" xfId="0"/>
    <x:xf numFmtId="0" fontId="2" fillId="0" borderId="0" xfId="0"/>
    <x:xf numFmtId="3" fontId="0" fillId="0" borderId="0" xfId="0"/>
    <x:xf numFmtId="10" fontId="0" fillId="0" borderId="0" xfId="0"/>
    <x:xf numFmtId="164" fontId="0" fillId="0" borderId="0" xfId="0"/>
    <x:xf numFmtId="2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e82657fde494e" /><Relationship Type="http://schemas.openxmlformats.org/officeDocument/2006/relationships/theme" Target="/xl/theme/theme1.xml" Id="Rc4d43fcca41f4b45" /><Relationship Type="http://schemas.openxmlformats.org/officeDocument/2006/relationships/sharedStrings" Target="/xl/sharedStrings.xml" Id="Rdfa968b0efe24305" /><Relationship Type="http://schemas.openxmlformats.org/officeDocument/2006/relationships/worksheet" Target="/xl/worksheets/sheet1.xml" Id="R99a21866a0a74952" /><Relationship Type="http://schemas.openxmlformats.org/officeDocument/2006/relationships/worksheet" Target="/xl/worksheets/sheet2.xml" Id="R35a950f2d1064437" /><Relationship Type="http://schemas.openxmlformats.org/officeDocument/2006/relationships/worksheet" Target="/xl/worksheets/sheet3.xml" Id="Rc96cb684c2cb4f0f" /><Relationship Type="http://schemas.openxmlformats.org/officeDocument/2006/relationships/worksheet" Target="/xl/worksheets/sheet4.xml" Id="Rd1adc2bce7dd48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0" customWidth="1"/>
  </x:cols>
  <x:sheetData>
    <x:row r="1">
      <x:c r="A1" s="1" t="inlineStr">
        <x:is>
          <x:t xml:space="preserve">Planilha de validação dos KPIs financeiros | E1 de Contabilidade e Finanças | PI CTI, Grupo 6 (DevLeaders)</x:t>
        </x:is>
      </x:c>
    </x:row>
    <x:row r="2">
      <x:c r="A2" s="2" t="inlineStr">
        <x:is>
          <x:t xml:space="preserve"/>
        </x:is>
      </x:c>
    </x:row>
    <x:row r="3">
      <x:c r="A3" s="2" t="inlineStr">
        <x:is>
          <x:t xml:space="preserve">Como funciona: a aba Entradas traz os valores de origem e as premissas; a aba KPIs calcula cada indicador com fórmulas que apontam para Entradas; a aba Validação compara cada fórmula com o valor recalculado de forma independente pelo script do grupo e confere as identidades do balanço.</x:t>
        </x:is>
      </x:c>
    </x:row>
    <x:row r="4">
      <x:c r="A4" s="2" t="inlineStr">
        <x:is>
          <x:t xml:space="preserve">Para testar: altere qualquer valor em Entradas; os KPIs mudam e a Validação passa a mostrar DIVERGENTE.</x:t>
        </x:is>
      </x:c>
    </x:row>
    <x:row r="5">
      <x:c r="A5" s="2" t="inlineStr">
        <x:is>
          <x:t xml:space="preserve"/>
        </x:is>
      </x:c>
    </x:row>
    <x:row r="6">
      <x:c r="A6" s="2" t="inlineStr">
        <x:is>
          <x:t xml:space="preserve">Fonte: Demonstrativo Fecap v3.csv (CTI Global), preparado por src/prepara.py no repositório do projeto.</x:t>
        </x:is>
      </x:c>
    </x:row>
    <x:row r="7">
      <x:c r="A7" s="2" t="inlineStr">
        <x:is>
          <x:t xml:space="preserve">Entradas: média dos 1.200 cenários em cada ano (dado agregado; inclui as 93 cópias de trajetória repetida). Nenhum cenário individual é exibido.</x:t>
        </x:is>
      </x:c>
    </x:row>
    <x:row r="8">
      <x:c r="A8" s="2" t="inlineStr">
        <x:is>
          <x:t xml:space="preserve">Periodicidade: anual, Ano 1 (2027) a Ano 12 (2038), por convenção acadêmica. Dimensão: cenário x ano; aqui, a média entre os cenários de cada ano.</x:t>
        </x:is>
      </x:c>
    </x:row>
    <x:row r="9">
      <x:c r="A9" s="2" t="inlineStr">
        <x:is>
          <x:t xml:space="preserve">Sinais: a base registra passivos e patrimônio líquido com sinal negativo. Os índices usam a obrigação como (-valor registrado). O Passivo Circulante tem sinal positivo em 62% dos registros; nos anos em que a média é positiva, os índices que dependem dele ficam pendentes até esclarecimento da CTI.</x:t>
        </x:is>
      </x:c>
    </x:row>
    <x:row r="10">
      <x:c r="A10" s="2" t="inlineStr">
        <x:is>
          <x:t xml:space="preserve">Ano 12: encerramento da concessão; não há Patrimônio Líquido nem Exigível a Longo Prazo, e os índices que dependem dessas contas ficam indisponíveis (nunca zero).</x:t>
        </x:is>
      </x:c>
    </x:row>
    <x:row r="11">
      <x:c r="A11" s="2" t="inlineStr">
        <x:is>
          <x:t xml:space="preserve">CAC, LTV e custo do capital próprio são premissas do modelo simplificado (a base não tem dados de clientes, marketing nem custo de capital).</x:t>
        </x:is>
      </x:c>
    </x:row>
    <x:row r="12">
      <x:c r="A12" s="2" t="inlineStr">
        <x:is>
          <x:t xml:space="preserve">Unidade monetária: reais, como informado no dicionário de dados do projeto.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baseColWidth="8" defaultRowHeight="15"/>
  <x:cols>
    <x:col min="1" max="1" width="9" customWidth="1"/>
    <x:col min="2" max="2" width="36" customWidth="1"/>
    <x:col min="3" max="3" width="7" customWidth="1"/>
    <x:col min="4" max="4" width="44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3" t="inlineStr">
        <x:is>
          <x:t xml:space="preserve">Chave</x:t>
        </x:is>
      </x:c>
      <x:c r="B1" s="3" t="inlineStr">
        <x:is>
          <x:t xml:space="preserve">Conta na base</x:t>
        </x:is>
      </x:c>
      <x:c r="C1" s="3" t="inlineStr">
        <x:is>
          <x:t xml:space="preserve">Bloco</x:t>
        </x:is>
      </x:c>
      <x:c r="D1" s="3" t="inlineStr">
        <x:is>
          <x:t xml:space="preserve">Sinal registrado na base</x:t>
        </x:is>
      </x:c>
      <x:c r="E1" s="3" t="inlineStr">
        <x:is>
          <x:t xml:space="preserve">Ano 1</x:t>
        </x:is>
      </x:c>
      <x:c r="F1" s="3" t="inlineStr">
        <x:is>
          <x:t xml:space="preserve">Ano 2</x:t>
        </x:is>
      </x:c>
      <x:c r="G1" s="3" t="inlineStr">
        <x:is>
          <x:t xml:space="preserve">Ano 3</x:t>
        </x:is>
      </x:c>
      <x:c r="H1" s="3" t="inlineStr">
        <x:is>
          <x:t xml:space="preserve">Ano 4</x:t>
        </x:is>
      </x:c>
      <x:c r="I1" s="3" t="inlineStr">
        <x:is>
          <x:t xml:space="preserve">Ano 5</x:t>
        </x:is>
      </x:c>
      <x:c r="J1" s="3" t="inlineStr">
        <x:is>
          <x:t xml:space="preserve">Ano 6</x:t>
        </x:is>
      </x:c>
      <x:c r="K1" s="3" t="inlineStr">
        <x:is>
          <x:t xml:space="preserve">Ano 7</x:t>
        </x:is>
      </x:c>
      <x:c r="L1" s="3" t="inlineStr">
        <x:is>
          <x:t xml:space="preserve">Ano 8</x:t>
        </x:is>
      </x:c>
      <x:c r="M1" s="3" t="inlineStr">
        <x:is>
          <x:t xml:space="preserve">Ano 9</x:t>
        </x:is>
      </x:c>
      <x:c r="N1" s="3" t="inlineStr">
        <x:is>
          <x:t xml:space="preserve">Ano 10</x:t>
        </x:is>
      </x:c>
      <x:c r="O1" s="3" t="inlineStr">
        <x:is>
          <x:t xml:space="preserve">Ano 11</x:t>
        </x:is>
      </x:c>
      <x:c r="P1" s="3" t="inlineStr">
        <x:is>
          <x:t xml:space="preserve">Ano 12</x:t>
        </x:is>
      </x:c>
    </x:row>
    <x:row r="2">
      <x:c r="A2" t="inlineStr">
        <x:is>
          <x:t xml:space="preserve">REC</x:t>
        </x:is>
      </x:c>
      <x:c r="B2" t="inlineStr">
        <x:is>
          <x:t xml:space="preserve">DRE - Receita</x:t>
        </x:is>
      </x:c>
      <x:c r="C2" t="inlineStr">
        <x:is>
          <x:t xml:space="preserve">DRE</x:t>
        </x:is>
      </x:c>
      <x:c r="D2" t="inlineStr">
        <x:is>
          <x:t xml:space="preserve">positivo</x:t>
        </x:is>
      </x:c>
      <x:c r="E2" s="4" t="n">
        <x:v>6679147681.084291</x:v>
      </x:c>
      <x:c r="F2" s="4" t="n">
        <x:v>6089660867.641368</x:v>
      </x:c>
      <x:c r="G2" s="4" t="n">
        <x:v>6254777867.299087</x:v>
      </x:c>
      <x:c r="H2" s="4" t="n">
        <x:v>6514277999.978742</x:v>
      </x:c>
      <x:c r="I2" s="4" t="n">
        <x:v>6845595020.317544</x:v>
      </x:c>
      <x:c r="J2" s="4" t="n">
        <x:v>7248545941.511563</x:v>
      </x:c>
      <x:c r="K2" s="4" t="n">
        <x:v>7673514335.311551</x:v>
      </x:c>
      <x:c r="L2" s="4" t="n">
        <x:v>8165980166.136797</x:v>
      </x:c>
      <x:c r="M2" s="4" t="n">
        <x:v>8633368484.299423</x:v>
      </x:c>
      <x:c r="N2" s="4" t="n">
        <x:v>9170848606.471706</x:v>
      </x:c>
      <x:c r="O2" s="4" t="n">
        <x:v>9722984664.768333</x:v>
      </x:c>
      <x:c r="P2" s="4" t="n">
        <x:v>11962389878.15527</x:v>
      </x:c>
    </x:row>
    <x:row r="3">
      <x:c r="A3" t="inlineStr">
        <x:is>
          <x:t xml:space="preserve">CUS</x:t>
        </x:is>
      </x:c>
      <x:c r="B3" t="inlineStr">
        <x:is>
          <x:t xml:space="preserve">DRE - Custos</x:t>
        </x:is>
      </x:c>
      <x:c r="C3" t="inlineStr">
        <x:is>
          <x:t xml:space="preserve">DRE</x:t>
        </x:is>
      </x:c>
      <x:c r="D3" t="inlineStr">
        <x:is>
          <x:t xml:space="preserve">negativo (saída)</x:t>
        </x:is>
      </x:c>
      <x:c r="E3" s="4" t="n">
        <x:v>-1355723912.467544</x:v>
      </x:c>
      <x:c r="F3" s="4" t="n">
        <x:v>-1322760394.210125</x:v>
      </x:c>
      <x:c r="G3" s="4" t="n">
        <x:v>-1218197034.735044</x:v>
      </x:c>
      <x:c r="H3" s="4" t="n">
        <x:v>-1215139403.674767</x:v>
      </x:c>
      <x:c r="I3" s="4" t="n">
        <x:v>-1103509975.129567</x:v>
      </x:c>
      <x:c r="J3" s="4" t="n">
        <x:v>-1110507455.341414</x:v>
      </x:c>
      <x:c r="K3" s="4" t="n">
        <x:v>-1228358429.369328</x:v>
      </x:c>
      <x:c r="L3" s="4" t="n">
        <x:v>-1292069298.95348</x:v>
      </x:c>
      <x:c r="M3" s="4" t="n">
        <x:v>-1352942388.679258</x:v>
      </x:c>
      <x:c r="N3" s="4" t="n">
        <x:v>-1220855458.861982</x:v>
      </x:c>
      <x:c r="O3" s="4" t="n">
        <x:v>-1004148253.318861</x:v>
      </x:c>
      <x:c r="P3" s="4" t="n">
        <x:v>-1040666475.338333</x:v>
      </x:c>
    </x:row>
    <x:row r="4">
      <x:c r="A4" t="inlineStr">
        <x:is>
          <x:t xml:space="preserve">EBITDA</x:t>
        </x:is>
      </x:c>
      <x:c r="B4" t="inlineStr">
        <x:is>
          <x:t xml:space="preserve">DRE - EBITDA</x:t>
        </x:is>
      </x:c>
      <x:c r="C4" t="inlineStr">
        <x:is>
          <x:t xml:space="preserve">DRE</x:t>
        </x:is>
      </x:c>
      <x:c r="D4" t="inlineStr">
        <x:is>
          <x:t xml:space="preserve">positivo</x:t>
        </x:is>
      </x:c>
      <x:c r="E4" s="4" t="n">
        <x:v>5152102089.769878</x:v>
      </x:c>
      <x:c r="F4" s="4" t="n">
        <x:v>4615494381.97871</x:v>
      </x:c>
      <x:c r="G4" s="4" t="n">
        <x:v>4896584087.736614</x:v>
      </x:c>
      <x:c r="H4" s="4" t="n">
        <x:v>5169078815.773746</x:v>
      </x:c>
      <x:c r="I4" s="4" t="n">
        <x:v>5472534547.556581</x:v>
      </x:c>
      <x:c r="J4" s="4" t="n">
        <x:v>5836868799.41063</x:v>
      </x:c>
      <x:c r="K4" s="4" t="n">
        <x:v>6221628537.702708</x:v>
      </x:c>
      <x:c r="L4" s="4" t="n">
        <x:v>6650720919.57041</x:v>
      </x:c>
      <x:c r="M4" s="4" t="n">
        <x:v>7061535492.225078</x:v>
      </x:c>
      <x:c r="N4" s="4" t="n">
        <x:v>7543996064.8577</x:v>
      </x:c>
      <x:c r="O4" s="4" t="n">
        <x:v>8007699251.846675</x:v>
      </x:c>
      <x:c r="P4" s="4" t="n">
        <x:v>11425859409.7914</x:v>
      </x:c>
    </x:row>
    <x:row r="5">
      <x:c r="A5" t="inlineStr">
        <x:is>
          <x:t xml:space="preserve">RL</x:t>
        </x:is>
      </x:c>
      <x:c r="B5" t="inlineStr">
        <x:is>
          <x:t xml:space="preserve">DRE - Resultado Líquido</x:t>
        </x:is>
      </x:c>
      <x:c r="C5" t="inlineStr">
        <x:is>
          <x:t xml:space="preserve">DRE</x:t>
        </x:is>
      </x:c>
      <x:c r="D5" t="inlineStr">
        <x:is>
          <x:t xml:space="preserve">positivo</x:t>
        </x:is>
      </x:c>
      <x:c r="E5" s="4" t="n">
        <x:v>2416060076.248843</x:v>
      </x:c>
      <x:c r="F5" s="4" t="n">
        <x:v>1967242342.709378</x:v>
      </x:c>
      <x:c r="G5" s="4" t="n">
        <x:v>2113482304.23281</x:v>
      </x:c>
      <x:c r="H5" s="4" t="n">
        <x:v>2302376094.195648</x:v>
      </x:c>
      <x:c r="I5" s="4" t="n">
        <x:v>2635125873.192903</x:v>
      </x:c>
      <x:c r="J5" s="4" t="n">
        <x:v>2950871361.128881</x:v>
      </x:c>
      <x:c r="K5" s="4" t="n">
        <x:v>3141984473.549089</x:v>
      </x:c>
      <x:c r="L5" s="4" t="n">
        <x:v>3397816932.726863</x:v>
      </x:c>
      <x:c r="M5" s="4" t="n">
        <x:v>3668072394.578009</x:v>
      </x:c>
      <x:c r="N5" s="4" t="n">
        <x:v>4132668638.821321</x:v>
      </x:c>
      <x:c r="O5" s="4" t="n">
        <x:v>4654033783.272936</x:v>
      </x:c>
      <x:c r="P5" s="4" t="n">
        <x:v>6900021703.743784</x:v>
      </x:c>
    </x:row>
    <x:row r="6">
      <x:c r="A6" t="inlineStr">
        <x:is>
          <x:t xml:space="preserve">AC</x:t>
        </x:is>
      </x:c>
      <x:c r="B6" t="inlineStr">
        <x:is>
          <x:t xml:space="preserve">BAL - Ativo Circulante</x:t>
        </x:is>
      </x:c>
      <x:c r="C6" t="inlineStr">
        <x:is>
          <x:t xml:space="preserve">BAL</x:t>
        </x:is>
      </x:c>
      <x:c r="D6" t="inlineStr">
        <x:is>
          <x:t xml:space="preserve">positivo</x:t>
        </x:is>
      </x:c>
      <x:c r="E6" s="4" t="n">
        <x:v>1710576226.401666</x:v>
      </x:c>
      <x:c r="F6" s="4" t="n">
        <x:v>1425691006.091325</x:v>
      </x:c>
      <x:c r="G6" s="4" t="n">
        <x:v>2138603828.526346</x:v>
      </x:c>
      <x:c r="H6" s="4" t="n">
        <x:v>1509645147.088073</x:v>
      </x:c>
      <x:c r="I6" s="4" t="n">
        <x:v>794670975.1936842</x:v>
      </x:c>
      <x:c r="J6" s="4" t="n">
        <x:v>765907213.4535109</x:v>
      </x:c>
      <x:c r="K6" s="4" t="n">
        <x:v>901343245.2471735</x:v>
      </x:c>
      <x:c r="L6" s="4" t="n">
        <x:v>1677456302.910629</x:v>
      </x:c>
      <x:c r="M6" s="4" t="n">
        <x:v>2003810949.090584</x:v>
      </x:c>
      <x:c r="N6" s="4" t="n">
        <x:v>2139515894.070243</x:v>
      </x:c>
      <x:c r="O6" s="4" t="n">
        <x:v>2760169955.872182</x:v>
      </x:c>
      <x:c r="P6" s="4" t="n">
        <x:v>414462203.1553091</x:v>
      </x:c>
    </x:row>
    <x:row r="7">
      <x:c r="A7" t="inlineStr">
        <x:is>
          <x:t xml:space="preserve">DISP</x:t>
        </x:is>
      </x:c>
      <x:c r="B7" t="inlineStr">
        <x:is>
          <x:t xml:space="preserve">BAL - Disponível</x:t>
        </x:is>
      </x:c>
      <x:c r="C7" t="inlineStr">
        <x:is>
          <x:t xml:space="preserve">BAL</x:t>
        </x:is>
      </x:c>
      <x:c r="D7" t="inlineStr">
        <x:is>
          <x:t xml:space="preserve">positivo</x:t>
        </x:is>
      </x:c>
      <x:c r="E7" s="4" t="n">
        <x:v>1117889684.347769</x:v>
      </x:c>
      <x:c r="F7" s="4" t="n">
        <x:v>877540545.4981338</x:v>
      </x:c>
      <x:c r="G7" s="4" t="n">
        <x:v>1590732589.89419</x:v>
      </x:c>
      <x:c r="H7" s="4" t="n">
        <x:v>966422661.2815751</x:v>
      </x:c>
      <x:c r="I7" s="4" t="n">
        <x:v>256620220.7658413</x:v>
      </x:c>
      <x:c r="J7" s="4" t="n">
        <x:v>234828289.8264638</x:v>
      </x:c>
      <x:c r="K7" s="4" t="n">
        <x:v>381459605.5229374</x:v>
      </x:c>
      <x:c r="L7" s="4" t="n">
        <x:v>1261792777.556756</x:v>
      </x:c>
      <x:c r="M7" s="4" t="n">
        <x:v>1712742266.470283</x:v>
      </x:c>
      <x:c r="N7" s="4" t="n">
        <x:v>1997667254.472468</x:v>
      </x:c>
      <x:c r="O7" s="4" t="n">
        <x:v>2790886930.725157</x:v>
      </x:c>
      <x:c r="P7" s="4" t="n">
        <x:v>439575150.5481507</x:v>
      </x:c>
    </x:row>
    <x:row r="8">
      <x:c r="A8" t="inlineStr">
        <x:is>
          <x:t xml:space="preserve">EST</x:t>
        </x:is>
      </x:c>
      <x:c r="B8" t="inlineStr">
        <x:is>
          <x:t xml:space="preserve">BAL - Estoques Diversos</x:t>
        </x:is>
      </x:c>
      <x:c r="C8" t="inlineStr">
        <x:is>
          <x:t xml:space="preserve">BAL</x:t>
        </x:is>
      </x:c>
      <x:c r="D8" t="inlineStr">
        <x:is>
          <x:t xml:space="preserve">positivo (valores muito pequenos)</x:t>
        </x:is>
      </x:c>
      <x:c r="E8" s="4" t="n">
        <x:v>86620.78872148</x:v>
      </x:c>
      <x:c r="F8" s="4" t="n">
        <x:v>86620.78872148</x:v>
      </x:c>
      <x:c r="G8" s="4" t="n">
        <x:v>86620.78872148</x:v>
      </x:c>
      <x:c r="H8" s="4" t="n">
        <x:v>86620.78872148</x:v>
      </x:c>
      <x:c r="I8" s="4" t="n">
        <x:v>86620.78872148</x:v>
      </x:c>
      <x:c r="J8" s="4" t="n">
        <x:v>86620.78872148</x:v>
      </x:c>
      <x:c r="K8" s="4" t="n">
        <x:v>86620.78872148</x:v>
      </x:c>
      <x:c r="L8" s="4" t="n">
        <x:v>86620.78872148</x:v>
      </x:c>
      <x:c r="M8" s="4" t="n">
        <x:v>86620.78872148</x:v>
      </x:c>
      <x:c r="N8" s="4" t="n">
        <x:v>86620.78872148</x:v>
      </x:c>
      <x:c r="O8" s="4" t="n">
        <x:v>86620.78872148</x:v>
      </x:c>
      <x:c r="P8" s="4" t="n"/>
    </x:row>
    <x:row r="9">
      <x:c r="A9" t="inlineStr">
        <x:is>
          <x:t xml:space="preserve">RLP</x:t>
        </x:is>
      </x:c>
      <x:c r="B9" t="inlineStr">
        <x:is>
          <x:t xml:space="preserve">BAL - Realizável a Longo Prazo</x:t>
        </x:is>
      </x:c>
      <x:c r="C9" t="inlineStr">
        <x:is>
          <x:t xml:space="preserve">BAL</x:t>
        </x:is>
      </x:c>
      <x:c r="D9" t="inlineStr">
        <x:is>
          <x:t xml:space="preserve">positivo</x:t>
        </x:is>
      </x:c>
      <x:c r="E9" s="4" t="n">
        <x:v>640180593.7682871</x:v>
      </x:c>
      <x:c r="F9" s="4" t="n">
        <x:v>904661510.9939071</x:v>
      </x:c>
      <x:c r="G9" s="4" t="n">
        <x:v>1200976264.807688</x:v>
      </x:c>
      <x:c r="H9" s="4" t="n">
        <x:v>1361761553.293164</x:v>
      </x:c>
      <x:c r="I9" s="4" t="n">
        <x:v>1355538249.608218</x:v>
      </x:c>
      <x:c r="J9" s="4" t="n">
        <x:v>1587701334.831518</x:v>
      </x:c>
      <x:c r="K9" s="4" t="n">
        <x:v>1912317770.484981</x:v>
      </x:c>
      <x:c r="L9" s="4" t="n">
        <x:v>2267242523.319332</x:v>
      </x:c>
      <x:c r="M9" s="4" t="n">
        <x:v>2434272888.398314</x:v>
      </x:c>
      <x:c r="N9" s="4" t="n">
        <x:v>2377050175.458638</x:v>
      </x:c>
      <x:c r="O9" s="4" t="n">
        <x:v>2537035044.140319</x:v>
      </x:c>
      <x:c r="P9" s="4" t="n">
        <x:v>7.5e-08</x:v>
      </x:c>
    </x:row>
    <x:row r="10">
      <x:c r="A10" t="inlineStr">
        <x:is>
          <x:t xml:space="preserve">PERM</x:t>
        </x:is>
      </x:c>
      <x:c r="B10" t="inlineStr">
        <x:is>
          <x:t xml:space="preserve">BAL - Permanente</x:t>
        </x:is>
      </x:c>
      <x:c r="C10" t="inlineStr">
        <x:is>
          <x:t xml:space="preserve">BAL</x:t>
        </x:is>
      </x:c>
      <x:c r="D10" t="inlineStr">
        <x:is>
          <x:t xml:space="preserve">positivo</x:t>
        </x:is>
      </x:c>
      <x:c r="E10" s="4" t="n">
        <x:v>8252835892.290005</x:v>
      </x:c>
      <x:c r="F10" s="4" t="n">
        <x:v>7962051536.216118</x:v>
      </x:c>
      <x:c r="G10" s="4" t="n">
        <x:v>7397466387.639824</x:v>
      </x:c>
      <x:c r="H10" s="4" t="n">
        <x:v>6699846799.46577</x:v>
      </x:c>
      <x:c r="I10" s="4" t="n">
        <x:v>5935871601.328339</x:v>
      </x:c>
      <x:c r="J10" s="4" t="n">
        <x:v>5194016400.948339</x:v>
      </x:c>
      <x:c r="K10" s="4" t="n">
        <x:v>4384716999.080704</x:v>
      </x:c>
      <x:c r="L10" s="4" t="n">
        <x:v>3533889201.809253</x:v>
      </x:c>
      <x:c r="M10" s="4" t="n">
        <x:v>2794190881.835563</x:v>
      </x:c>
      <x:c r="N10" s="4" t="n">
        <x:v>1946930739.534287</x:v>
      </x:c>
      <x:c r="O10" s="4" t="n">
        <x:v>1045225344.057047</x:v>
      </x:c>
      <x:c r="P10" s="4" t="n">
        <x:v>-417506638.7890759</x:v>
      </x:c>
    </x:row>
    <x:row r="11">
      <x:c r="A11" t="inlineStr">
        <x:is>
          <x:t xml:space="preserve">AT</x:t>
        </x:is>
      </x:c>
      <x:c r="B11" t="inlineStr">
        <x:is>
          <x:t xml:space="preserve">BAL - Total do Ativo</x:t>
        </x:is>
      </x:c>
      <x:c r="C11" t="inlineStr">
        <x:is>
          <x:t xml:space="preserve">BAL</x:t>
        </x:is>
      </x:c>
      <x:c r="D11" t="inlineStr">
        <x:is>
          <x:t xml:space="preserve">positivo (negativo em parte do Ano 12)</x:t>
        </x:is>
      </x:c>
      <x:c r="E11" s="4" t="n">
        <x:v>10603592712.45996</x:v>
      </x:c>
      <x:c r="F11" s="4" t="n">
        <x:v>10292404053.30135</x:v>
      </x:c>
      <x:c r="G11" s="4" t="n">
        <x:v>10737046480.97386</x:v>
      </x:c>
      <x:c r="H11" s="4" t="n">
        <x:v>9571253499.847008</x:v>
      </x:c>
      <x:c r="I11" s="4" t="n">
        <x:v>8086080826.13024</x:v>
      </x:c>
      <x:c r="J11" s="4" t="n">
        <x:v>7547624949.233368</x:v>
      </x:c>
      <x:c r="K11" s="4" t="n">
        <x:v>7198378014.812859</x:v>
      </x:c>
      <x:c r="L11" s="4" t="n">
        <x:v>7478588028.039217</x:v>
      </x:c>
      <x:c r="M11" s="4" t="n">
        <x:v>7232274719.32446</x:v>
      </x:c>
      <x:c r="N11" s="4" t="n">
        <x:v>6463496809.063169</x:v>
      </x:c>
      <x:c r="O11" s="4" t="n">
        <x:v>6342430344.06955</x:v>
      </x:c>
      <x:c r="P11" s="4" t="n">
        <x:v>-3044435.633767649</x:v>
      </x:c>
    </x:row>
    <x:row r="12">
      <x:c r="A12" t="inlineStr">
        <x:is>
          <x:t xml:space="preserve">PC</x:t>
        </x:is>
      </x:c>
      <x:c r="B12" t="inlineStr">
        <x:is>
          <x:t xml:space="preserve">BAL - Passivo Circulante</x:t>
        </x:is>
      </x:c>
      <x:c r="C12" t="inlineStr">
        <x:is>
          <x:t xml:space="preserve">BAL</x:t>
        </x:is>
      </x:c>
      <x:c r="D12" t="inlineStr">
        <x:is>
          <x:t xml:space="preserve">misto: negativo em 38% e positivo em 62% dos registros</x:t>
        </x:is>
      </x:c>
      <x:c r="E12" s="4" t="n">
        <x:v>-1080576592.176103</x:v>
      </x:c>
      <x:c r="F12" s="4" t="n">
        <x:v>-1355891431.695631</x:v>
      </x:c>
      <x:c r="G12" s="4" t="n">
        <x:v>-1756789733.052103</x:v>
      </x:c>
      <x:c r="H12" s="4" t="n">
        <x:v>-496549856.9437132</x:v>
      </x:c>
      <x:c r="I12" s="4" t="n">
        <x:v>1163452372.906087</x:v>
      </x:c>
      <x:c r="J12" s="4" t="n">
        <x:v>1892210655.090776</x:v>
      </x:c>
      <x:c r="K12" s="4" t="n">
        <x:v>2393299913.419235</x:v>
      </x:c>
      <x:c r="L12" s="4" t="n">
        <x:v>2305708180.608919</x:v>
      </x:c>
      <x:c r="M12" s="4" t="n">
        <x:v>2763576857.45646</x:v>
      </x:c>
      <x:c r="N12" s="4" t="n">
        <x:v>3861445338.12318</x:v>
      </x:c>
      <x:c r="O12" s="4" t="n">
        <x:v>4374785711.826539</x:v>
      </x:c>
      <x:c r="P12" s="4" t="n">
        <x:v>-22140970.10466376</x:v>
      </x:c>
    </x:row>
    <x:row r="13">
      <x:c r="A13" t="inlineStr">
        <x:is>
          <x:t xml:space="preserve">ELP</x:t>
        </x:is>
      </x:c>
      <x:c r="B13" t="inlineStr">
        <x:is>
          <x:t xml:space="preserve">BAL - Exigível a Longo Prazo</x:t>
        </x:is>
      </x:c>
      <x:c r="C13" t="inlineStr">
        <x:is>
          <x:t xml:space="preserve">BAL</x:t>
        </x:is>
      </x:c>
      <x:c r="D13" t="inlineStr">
        <x:is>
          <x:t xml:space="preserve">negativo (obrigação); ausente no Ano 12</x:t>
        </x:is>
      </x:c>
      <x:c r="E13" s="4" t="n">
        <x:v>-7535763775.374249</x:v>
      </x:c>
      <x:c r="F13" s="4" t="n">
        <x:v>-7535763775.374249</x:v>
      </x:c>
      <x:c r="G13" s="4" t="n">
        <x:v>-7535763775.374249</x:v>
      </x:c>
      <x:c r="H13" s="4" t="n">
        <x:v>-7535763775.374249</x:v>
      </x:c>
      <x:c r="I13" s="4" t="n">
        <x:v>-7535763775.374249</x:v>
      </x:c>
      <x:c r="J13" s="4" t="n">
        <x:v>-7535763775.374249</x:v>
      </x:c>
      <x:c r="K13" s="4" t="n">
        <x:v>-7535763775.374249</x:v>
      </x:c>
      <x:c r="L13" s="4" t="n">
        <x:v>-7531151376.17117</x:v>
      </x:c>
      <x:c r="M13" s="4" t="n">
        <x:v>-7526397061.788899</x:v>
      </x:c>
      <x:c r="N13" s="4" t="n">
        <x:v>-7521430792.068564</x:v>
      </x:c>
      <x:c r="O13" s="4" t="n">
        <x:v>-7516140844.668001</x:v>
      </x:c>
      <x:c r="P13" s="4" t="n"/>
    </x:row>
    <x:row r="14">
      <x:c r="A14" t="inlineStr">
        <x:is>
          <x:t xml:space="preserve">PL</x:t>
        </x:is>
      </x:c>
      <x:c r="B14" t="str">
        <x:v>BAL  - Patrimônio Líquido</x:v>
      </x:c>
      <x:c r="C14" t="inlineStr">
        <x:is>
          <x:t xml:space="preserve">BAL</x:t>
        </x:is>
      </x:c>
      <x:c r="D14" t="inlineStr">
        <x:is>
          <x:t xml:space="preserve">negativo; ausente no Ano 12</x:t>
        </x:is>
      </x:c>
      <x:c r="E14" s="4" t="n">
        <x:v>-1987252344.88447</x:v>
      </x:c>
      <x:c r="F14" s="4" t="n">
        <x:v>-1400748846.206368</x:v>
      </x:c>
      <x:c r="G14" s="4" t="n">
        <x:v>-1444492972.522465</x:v>
      </x:c>
      <x:c r="H14" s="4" t="n">
        <x:v>-1538939867.503893</x:v>
      </x:c>
      <x:c r="I14" s="4" t="n">
        <x:v>-1713769423.636975</x:v>
      </x:c>
      <x:c r="J14" s="4" t="n">
        <x:v>-1904071828.924865</x:v>
      </x:c>
      <x:c r="K14" s="4" t="n">
        <x:v>-2055914152.832746</x:v>
      </x:c>
      <x:c r="L14" s="4" t="n">
        <x:v>-2253144832.451868</x:v>
      </x:c>
      <x:c r="M14" s="4" t="n">
        <x:v>-2469454514.966933</x:v>
      </x:c>
      <x:c r="N14" s="4" t="n">
        <x:v>-2803511355.092692</x:v>
      </x:c>
      <x:c r="O14" s="4" t="n">
        <x:v>-3201075211.202971</x:v>
      </x:c>
      <x:c r="P14" s="4" t="n"/>
    </x:row>
    <x:row r="15">
      <x:c r="A15" t="inlineStr">
        <x:is>
          <x:t xml:space="preserve">TP</x:t>
        </x:is>
      </x:c>
      <x:c r="B15" t="inlineStr">
        <x:is>
          <x:t xml:space="preserve">BAL - Total do Passivo</x:t>
        </x:is>
      </x:c>
      <x:c r="C15" t="inlineStr">
        <x:is>
          <x:t xml:space="preserve">BAL</x:t>
        </x:is>
      </x:c>
      <x:c r="D15" t="inlineStr">
        <x:is>
          <x:t xml:space="preserve">negativo (inclui o PL)</x:t>
        </x:is>
      </x:c>
      <x:c r="E15" s="4" t="n">
        <x:v>-10603592712.43482</x:v>
      </x:c>
      <x:c r="F15" s="4" t="n">
        <x:v>-10292404053.27625</x:v>
      </x:c>
      <x:c r="G15" s="4" t="n">
        <x:v>-10737046480.94881</x:v>
      </x:c>
      <x:c r="H15" s="4" t="n">
        <x:v>-9571253499.821856</x:v>
      </x:c>
      <x:c r="I15" s="4" t="n">
        <x:v>-8086080826.105135</x:v>
      </x:c>
      <x:c r="J15" s="4" t="n">
        <x:v>-7547624949.208335</x:v>
      </x:c>
      <x:c r="K15" s="4" t="n">
        <x:v>-7198378014.787757</x:v>
      </x:c>
      <x:c r="L15" s="4" t="n">
        <x:v>-7478588028.014121</x:v>
      </x:c>
      <x:c r="M15" s="4" t="n">
        <x:v>-7232274719.299374</x:v>
      </x:c>
      <x:c r="N15" s="4" t="n">
        <x:v>-6463496809.038076</x:v>
      </x:c>
      <x:c r="O15" s="4" t="n">
        <x:v>-6342430344.044433</x:v>
      </x:c>
      <x:c r="P15" s="4" t="n">
        <x:v>3044435.60865888</x:v>
      </x:c>
    </x:row>
    <x:row r="17">
      <x:c r="A17" s="5" t="inlineStr">
        <x:is>
          <x:t xml:space="preserve">Premissas do modelo simplificado</x:t>
        </x:is>
      </x:c>
    </x:row>
    <x:row r="18">
      <x:c r="A18" t="inlineStr">
        <x:is>
          <x:t xml:space="preserve">CAC</x:t>
        </x:is>
      </x:c>
      <x:c r="B18" t="inlineStr">
        <x:is>
          <x:t xml:space="preserve">CAC simulado (R$ por cliente)</x:t>
        </x:is>
      </x:c>
      <x:c r="E18" s="6" t="n">
        <x:v>4000</x:v>
      </x:c>
    </x:row>
    <x:row r="19">
      <x:c r="A19" t="inlineStr">
        <x:is>
          <x:t xml:space="preserve">LTV</x:t>
        </x:is>
      </x:c>
      <x:c r="B19" t="inlineStr">
        <x:is>
          <x:t xml:space="preserve">LTV simulado (R$ por cliente)</x:t>
        </x:is>
      </x:c>
      <x:c r="E19" s="6" t="n">
        <x:v>45000</x:v>
      </x:c>
    </x:row>
    <x:row r="20">
      <x:c r="A20" t="inlineStr">
        <x:is>
          <x:t xml:space="preserve">TAXA</x:t>
        </x:is>
      </x:c>
      <x:c r="B20" t="inlineStr">
        <x:is>
          <x:t xml:space="preserve">Custo do capital próprio (hipótese acadêmica, ao ano)</x:t>
        </x:is>
      </x:c>
      <x:c r="E20" s="7" t="n">
        <x:v>0.1</x:v>
      </x:c>
    </x:row>
    <x:row r="21">
      <x:c r="A21" t="inlineStr">
        <x:is>
          <x:t xml:space="preserve">TOL</x:t>
        </x:is>
      </x:c>
      <x:c r="B21" t="inlineStr">
        <x:is>
          <x:t xml:space="preserve">Tolerância relativa da conferência</x:t>
        </x:is>
      </x:c>
      <x:c r="E21" s="8" t="n">
        <x:v>1e-06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34" customWidth="1"/>
    <x:col min="2" max="2" width="14" customWidth="1"/>
    <x:col min="3" max="3" width="46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</x:cols>
  <x:sheetData>
    <x:row r="1">
      <x:c r="A1" s="3" t="inlineStr">
        <x:is>
          <x:t xml:space="preserve">KPI</x:t>
        </x:is>
      </x:c>
      <x:c r="B1" s="3" t="inlineStr">
        <x:is>
          <x:t xml:space="preserve">Unidade</x:t>
        </x:is>
      </x:c>
      <x:c r="C1" s="3" t="inlineStr">
        <x:is>
          <x:t xml:space="preserve">Fórmula (contas da base)</x:t>
        </x:is>
      </x:c>
      <x:c r="D1" s="3" t="inlineStr">
        <x:is>
          <x:t xml:space="preserve">Ano 1</x:t>
        </x:is>
      </x:c>
      <x:c r="E1" s="3" t="inlineStr">
        <x:is>
          <x:t xml:space="preserve">Ano 2</x:t>
        </x:is>
      </x:c>
      <x:c r="F1" s="3" t="inlineStr">
        <x:is>
          <x:t xml:space="preserve">Ano 3</x:t>
        </x:is>
      </x:c>
      <x:c r="G1" s="3" t="inlineStr">
        <x:is>
          <x:t xml:space="preserve">Ano 4</x:t>
        </x:is>
      </x:c>
      <x:c r="H1" s="3" t="inlineStr">
        <x:is>
          <x:t xml:space="preserve">Ano 5</x:t>
        </x:is>
      </x:c>
      <x:c r="I1" s="3" t="inlineStr">
        <x:is>
          <x:t xml:space="preserve">Ano 6</x:t>
        </x:is>
      </x:c>
      <x:c r="J1" s="3" t="inlineStr">
        <x:is>
          <x:t xml:space="preserve">Ano 7</x:t>
        </x:is>
      </x:c>
      <x:c r="K1" s="3" t="inlineStr">
        <x:is>
          <x:t xml:space="preserve">Ano 8</x:t>
        </x:is>
      </x:c>
      <x:c r="L1" s="3" t="inlineStr">
        <x:is>
          <x:t xml:space="preserve">Ano 9</x:t>
        </x:is>
      </x:c>
      <x:c r="M1" s="3" t="inlineStr">
        <x:is>
          <x:t xml:space="preserve">Ano 10</x:t>
        </x:is>
      </x:c>
      <x:c r="N1" s="3" t="inlineStr">
        <x:is>
          <x:t xml:space="preserve">Ano 11</x:t>
        </x:is>
      </x:c>
      <x:c r="O1" s="3" t="inlineStr">
        <x:is>
          <x:t xml:space="preserve">Ano 12</x:t>
        </x:is>
      </x:c>
    </x:row>
    <x:row r="2">
      <x:c r="A2" t="inlineStr">
        <x:is>
          <x:t xml:space="preserve">Receita</x:t>
        </x:is>
      </x:c>
      <x:c r="B2" t="inlineStr">
        <x:is>
          <x:t xml:space="preserve">R$</x:t>
        </x:is>
      </x:c>
      <x:c r="C2" t="inlineStr">
        <x:is>
          <x:t xml:space="preserve">DRE - Receita</x:t>
        </x:is>
      </x:c>
      <x:c r="D2" s="6" t="n">
        <x:f>Entradas!$E$2</x:f>
        <x:v>6679147681.084291</x:v>
      </x:c>
      <x:c r="E2" s="6" t="n">
        <x:f>Entradas!$F$2</x:f>
        <x:v>6089660867.641368</x:v>
      </x:c>
      <x:c r="F2" s="6" t="n">
        <x:f>Entradas!$G$2</x:f>
        <x:v>6254777867.299087</x:v>
      </x:c>
      <x:c r="G2" s="6" t="n">
        <x:f>Entradas!$H$2</x:f>
        <x:v>6514277999.978742</x:v>
      </x:c>
      <x:c r="H2" s="6" t="n">
        <x:f>Entradas!$I$2</x:f>
        <x:v>6845595020.317544</x:v>
      </x:c>
      <x:c r="I2" s="6" t="n">
        <x:f>Entradas!$J$2</x:f>
        <x:v>7248545941.511563</x:v>
      </x:c>
      <x:c r="J2" s="6" t="n">
        <x:f>Entradas!$K$2</x:f>
        <x:v>7673514335.311551</x:v>
      </x:c>
      <x:c r="K2" s="6" t="n">
        <x:f>Entradas!$L$2</x:f>
        <x:v>8165980166.136797</x:v>
      </x:c>
      <x:c r="L2" s="6" t="n">
        <x:f>Entradas!$M$2</x:f>
        <x:v>8633368484.299423</x:v>
      </x:c>
      <x:c r="M2" s="6" t="n">
        <x:f>Entradas!$N$2</x:f>
        <x:v>9170848606.471706</x:v>
      </x:c>
      <x:c r="N2" s="6" t="n">
        <x:f>Entradas!$O$2</x:f>
        <x:v>9722984664.768333</x:v>
      </x:c>
      <x:c r="O2" s="6" t="n">
        <x:f>Entradas!$P$2</x:f>
        <x:v>11962389878.15527</x:v>
      </x:c>
    </x:row>
    <x:row r="3">
      <x:c r="A3" t="inlineStr">
        <x:is>
          <x:t xml:space="preserve">Custos variáveis (premissa)</x:t>
        </x:is>
      </x:c>
      <x:c r="B3" t="inlineStr">
        <x:is>
          <x:t xml:space="preserve">R$</x:t>
        </x:is>
      </x:c>
      <x:c r="C3" t="inlineStr">
        <x:is>
          <x:t xml:space="preserve">-(DRE - Custos)</x:t>
        </x:is>
      </x:c>
      <x:c r="D3" s="6" t="n">
        <x:f>-Entradas!$E$3</x:f>
        <x:v>1355723912.467544</x:v>
      </x:c>
      <x:c r="E3" s="6" t="n">
        <x:f>-Entradas!$F$3</x:f>
        <x:v>1322760394.210125</x:v>
      </x:c>
      <x:c r="F3" s="6" t="n">
        <x:f>-Entradas!$G$3</x:f>
        <x:v>1218197034.735044</x:v>
      </x:c>
      <x:c r="G3" s="6" t="n">
        <x:f>-Entradas!$H$3</x:f>
        <x:v>1215139403.674767</x:v>
      </x:c>
      <x:c r="H3" s="6" t="n">
        <x:f>-Entradas!$I$3</x:f>
        <x:v>1103509975.129567</x:v>
      </x:c>
      <x:c r="I3" s="6" t="n">
        <x:f>-Entradas!$J$3</x:f>
        <x:v>1110507455.341414</x:v>
      </x:c>
      <x:c r="J3" s="6" t="n">
        <x:f>-Entradas!$K$3</x:f>
        <x:v>1228358429.369328</x:v>
      </x:c>
      <x:c r="K3" s="6" t="n">
        <x:f>-Entradas!$L$3</x:f>
        <x:v>1292069298.95348</x:v>
      </x:c>
      <x:c r="L3" s="6" t="n">
        <x:f>-Entradas!$M$3</x:f>
        <x:v>1352942388.679258</x:v>
      </x:c>
      <x:c r="M3" s="6" t="n">
        <x:f>-Entradas!$N$3</x:f>
        <x:v>1220855458.861982</x:v>
      </x:c>
      <x:c r="N3" s="6" t="n">
        <x:f>-Entradas!$O$3</x:f>
        <x:v>1004148253.318861</x:v>
      </x:c>
      <x:c r="O3" s="6" t="n">
        <x:f>-Entradas!$P$3</x:f>
        <x:v>1040666475.338333</x:v>
      </x:c>
    </x:row>
    <x:row r="4">
      <x:c r="A4" t="inlineStr">
        <x:is>
          <x:t xml:space="preserve">Margem de contribuição</x:t>
        </x:is>
      </x:c>
      <x:c r="B4" t="inlineStr">
        <x:is>
          <x:t xml:space="preserve">R$</x:t>
        </x:is>
      </x:c>
      <x:c r="C4" t="inlineStr">
        <x:is>
          <x:t xml:space="preserve">DRE - Receita + DRE - Custos</x:t>
        </x:is>
      </x:c>
      <x:c r="D4" s="6" t="n">
        <x:f>Entradas!$E$2+Entradas!$E$3</x:f>
        <x:v>5323423768.616747</x:v>
      </x:c>
      <x:c r="E4" s="6" t="n">
        <x:f>Entradas!$F$2+Entradas!$F$3</x:f>
        <x:v>4766900473.431243</x:v>
      </x:c>
      <x:c r="F4" s="6" t="n">
        <x:f>Entradas!$G$2+Entradas!$G$3</x:f>
        <x:v>5036580832.564043</x:v>
      </x:c>
      <x:c r="G4" s="6" t="n">
        <x:f>Entradas!$H$2+Entradas!$H$3</x:f>
        <x:v>5299138596.303974</x:v>
      </x:c>
      <x:c r="H4" s="6" t="n">
        <x:f>Entradas!$I$2+Entradas!$I$3</x:f>
        <x:v>5742085045.187977</x:v>
      </x:c>
      <x:c r="I4" s="6" t="n">
        <x:f>Entradas!$J$2+Entradas!$J$3</x:f>
        <x:v>6138038486.170149</x:v>
      </x:c>
      <x:c r="J4" s="6" t="n">
        <x:f>Entradas!$K$2+Entradas!$K$3</x:f>
        <x:v>6445155905.942223</x:v>
      </x:c>
      <x:c r="K4" s="6" t="n">
        <x:f>Entradas!$L$2+Entradas!$L$3</x:f>
        <x:v>6873910867.183317</x:v>
      </x:c>
      <x:c r="L4" s="6" t="n">
        <x:f>Entradas!$M$2+Entradas!$M$3</x:f>
        <x:v>7280426095.620165</x:v>
      </x:c>
      <x:c r="M4" s="6" t="n">
        <x:f>Entradas!$N$2+Entradas!$N$3</x:f>
        <x:v>7949993147.609724</x:v>
      </x:c>
      <x:c r="N4" s="6" t="n">
        <x:f>Entradas!$O$2+Entradas!$O$3</x:f>
        <x:v>8718836411.449472</x:v>
      </x:c>
      <x:c r="O4" s="6" t="n">
        <x:f>Entradas!$P$2+Entradas!$P$3</x:f>
        <x:v>10921723402.816936</x:v>
      </x:c>
    </x:row>
    <x:row r="5">
      <x:c r="A5" t="inlineStr">
        <x:is>
          <x:t xml:space="preserve">Margem de contribuição (%)</x:t>
        </x:is>
      </x:c>
      <x:c r="B5" t="inlineStr">
        <x:is>
          <x:t xml:space="preserve">%</x:t>
        </x:is>
      </x:c>
      <x:c r="C5" t="inlineStr">
        <x:is>
          <x:t xml:space="preserve">(Receita + Custos) / Receita</x:t>
        </x:is>
      </x:c>
      <x:c r="D5" s="7" t="n">
        <x:f>IF(Entradas!$E$2=0,"indisponível: receita zero",(Entradas!$E$2+Entradas!$E$3)/Entradas!$E$2)</x:f>
        <x:v>0.79702141991754</x:v>
      </x:c>
      <x:c r="E5" s="7" t="n">
        <x:f>IF(Entradas!$F$2=0,"indisponível: receita zero",(Entradas!$F$2+Entradas!$F$3)/Entradas!$F$2)</x:f>
        <x:v>0.7827858688750835</x:v>
      </x:c>
      <x:c r="F5" s="7" t="n">
        <x:f>IF(Entradas!$G$2=0,"indisponível: receita zero",(Entradas!$G$2+Entradas!$G$3)/Entradas!$G$2)</x:f>
        <x:v>0.8052373624483198</x:v>
      </x:c>
      <x:c r="G5" s="7" t="n">
        <x:f>IF(Entradas!$H$2=0,"indisponível: receita zero",(Entradas!$H$2+Entradas!$H$3)/Entradas!$H$2)</x:f>
        <x:v>0.8134652215212902</x:v>
      </x:c>
      <x:c r="H5" s="7" t="n">
        <x:f>IF(Entradas!$I$2=0,"indisponível: receita zero",(Entradas!$I$2+Entradas!$I$3)/Entradas!$I$2)</x:f>
        <x:v>0.8387999915486705</x:v>
      </x:c>
      <x:c r="I5" s="7" t="n">
        <x:f>IF(Entradas!$J$2=0,"indisponível: receita zero",(Entradas!$J$2+Entradas!$J$3)/Entradas!$J$2)</x:f>
        <x:v>0.8467958312878077</x:v>
      </x:c>
      <x:c r="J5" s="7" t="n">
        <x:f>IF(Entradas!$K$2=0,"indisponível: receita zero",(Entradas!$K$2+Entradas!$K$3)/Entradas!$K$2)</x:f>
        <x:v>0.8399223125554433</x:v>
      </x:c>
      <x:c r="K5" s="7" t="n">
        <x:f>IF(Entradas!$L$2=0,"indisponível: receita zero",(Entradas!$L$2+Entradas!$L$3)/Entradas!$L$2)</x:f>
        <x:v>0.8417741321107398</x:v>
      </x:c>
      <x:c r="L5" s="7" t="n">
        <x:f>IF(Entradas!$M$2=0,"indisponível: receita zero",(Entradas!$M$2+Entradas!$M$3)/Entradas!$M$2)</x:f>
        <x:v>0.8432891644623175</x:v>
      </x:c>
      <x:c r="M5" s="7" t="n">
        <x:f>IF(Entradas!$N$2=0,"indisponível: receita zero",(Entradas!$N$2+Entradas!$N$3)/Entradas!$N$2)</x:f>
        <x:v>0.8668765006108109</x:v>
      </x:c>
      <x:c r="N5" s="7" t="n">
        <x:f>IF(Entradas!$O$2=0,"indisponível: receita zero",(Entradas!$O$2+Entradas!$O$3)/Entradas!$O$2)</x:f>
        <x:v>0.8967242788155949</x:v>
      </x:c>
      <x:c r="O5" s="7" t="n">
        <x:f>IF(Entradas!$P$2=0,"indisponível: receita zero",(Entradas!$P$2+Entradas!$P$3)/Entradas!$P$2)</x:f>
        <x:v>0.9130051364369328</x:v>
      </x:c>
    </x:row>
    <x:row r="6">
      <x:c r="A6" t="inlineStr">
        <x:is>
          <x:t xml:space="preserve">EBITDA</x:t>
        </x:is>
      </x:c>
      <x:c r="B6" t="inlineStr">
        <x:is>
          <x:t xml:space="preserve">R$</x:t>
        </x:is>
      </x:c>
      <x:c r="C6" t="inlineStr">
        <x:is>
          <x:t xml:space="preserve">DRE - EBITDA (fornecido pela CTI)</x:t>
        </x:is>
      </x:c>
      <x:c r="D6" s="6" t="n">
        <x:f>Entradas!$E$4</x:f>
        <x:v>5152102089.769878</x:v>
      </x:c>
      <x:c r="E6" s="6" t="n">
        <x:f>Entradas!$F$4</x:f>
        <x:v>4615494381.97871</x:v>
      </x:c>
      <x:c r="F6" s="6" t="n">
        <x:f>Entradas!$G$4</x:f>
        <x:v>4896584087.736614</x:v>
      </x:c>
      <x:c r="G6" s="6" t="n">
        <x:f>Entradas!$H$4</x:f>
        <x:v>5169078815.773746</x:v>
      </x:c>
      <x:c r="H6" s="6" t="n">
        <x:f>Entradas!$I$4</x:f>
        <x:v>5472534547.556581</x:v>
      </x:c>
      <x:c r="I6" s="6" t="n">
        <x:f>Entradas!$J$4</x:f>
        <x:v>5836868799.41063</x:v>
      </x:c>
      <x:c r="J6" s="6" t="n">
        <x:f>Entradas!$K$4</x:f>
        <x:v>6221628537.702708</x:v>
      </x:c>
      <x:c r="K6" s="6" t="n">
        <x:f>Entradas!$L$4</x:f>
        <x:v>6650720919.57041</x:v>
      </x:c>
      <x:c r="L6" s="6" t="n">
        <x:f>Entradas!$M$4</x:f>
        <x:v>7061535492.225078</x:v>
      </x:c>
      <x:c r="M6" s="6" t="n">
        <x:f>Entradas!$N$4</x:f>
        <x:v>7543996064.8577</x:v>
      </x:c>
      <x:c r="N6" s="6" t="n">
        <x:f>Entradas!$O$4</x:f>
        <x:v>8007699251.846675</x:v>
      </x:c>
      <x:c r="O6" s="6" t="n">
        <x:f>Entradas!$P$4</x:f>
        <x:v>11425859409.7914</x:v>
      </x:c>
    </x:row>
    <x:row r="7">
      <x:c r="A7" t="inlineStr">
        <x:is>
          <x:t xml:space="preserve">Margem EBITDA</x:t>
        </x:is>
      </x:c>
      <x:c r="B7" t="inlineStr">
        <x:is>
          <x:t xml:space="preserve">%</x:t>
        </x:is>
      </x:c>
      <x:c r="C7" t="inlineStr">
        <x:is>
          <x:t xml:space="preserve">DRE - EBITDA / DRE - Receita</x:t>
        </x:is>
      </x:c>
      <x:c r="D7" s="7" t="n">
        <x:f>IF(Entradas!$E$2=0,"indisponível: receita zero",Entradas!$E$4/Entradas!$E$2)</x:f>
        <x:v>0.7713711892253724</x:v>
      </x:c>
      <x:c r="E7" s="7" t="n">
        <x:f>IF(Entradas!$F$2=0,"indisponível: receita zero",Entradas!$F$4/Entradas!$F$2)</x:f>
        <x:v>0.7579230571777918</x:v>
      </x:c>
      <x:c r="F7" s="7" t="n">
        <x:f>IF(Entradas!$G$2=0,"indisponível: receita zero",Entradas!$G$4/Entradas!$G$2)</x:f>
        <x:v>0.782854993673986</x:v>
      </x:c>
      <x:c r="G7" s="7" t="n">
        <x:f>IF(Entradas!$H$2=0,"indisponível: receita zero",Entradas!$H$4/Entradas!$H$2)</x:f>
        <x:v>0.7934998806914003</x:v>
      </x:c>
      <x:c r="H7" s="7" t="n">
        <x:f>IF(Entradas!$I$2=0,"indisponível: receita zero",Entradas!$I$4/Entradas!$I$2)</x:f>
        <x:v>0.7994242328554704</x:v>
      </x:c>
      <x:c r="I7" s="7" t="n">
        <x:f>IF(Entradas!$J$2=0,"indisponível: receita zero",Entradas!$J$4/Entradas!$J$2)</x:f>
        <x:v>0.8052468517835522</x:v>
      </x:c>
      <x:c r="J7" s="7" t="n">
        <x:f>IF(Entradas!$K$2=0,"indisponível: receita zero",Entradas!$K$4/Entradas!$K$2)</x:f>
        <x:v>0.8107925867906918</x:v>
      </x:c>
      <x:c r="K7" s="7" t="n">
        <x:f>IF(Entradas!$L$2=0,"indisponível: receita zero",Entradas!$L$4/Entradas!$L$2)</x:f>
        <x:v>0.8144424532342167</x:v>
      </x:c>
      <x:c r="L7" s="7" t="n">
        <x:f>IF(Entradas!$M$2=0,"indisponível: receita zero",Entradas!$M$4/Entradas!$M$2)</x:f>
        <x:v>0.817935143746862</x:v>
      </x:c>
      <x:c r="M7" s="7" t="n">
        <x:f>IF(Entradas!$N$2=0,"indisponível: receita zero",Entradas!$N$4/Entradas!$N$2)</x:f>
        <x:v>0.8226061064331642</x:v>
      </x:c>
      <x:c r="N7" s="7" t="n">
        <x:f>IF(Entradas!$O$2=0,"indisponível: receita zero",Entradas!$O$4/Entradas!$O$2)</x:f>
        <x:v>0.8235844782171599</x:v>
      </x:c>
      <x:c r="O7" s="7" t="n">
        <x:f>IF(Entradas!$P$2=0,"indisponível: receita zero",Entradas!$P$4/Entradas!$P$2)</x:f>
        <x:v>0.9551485552779352</x:v>
      </x:c>
    </x:row>
    <x:row r="8">
      <x:c r="A8" t="inlineStr">
        <x:is>
          <x:t xml:space="preserve">Margem líquida</x:t>
        </x:is>
      </x:c>
      <x:c r="B8" t="inlineStr">
        <x:is>
          <x:t xml:space="preserve">%</x:t>
        </x:is>
      </x:c>
      <x:c r="C8" t="inlineStr">
        <x:is>
          <x:t xml:space="preserve">DRE - Resultado Líquido / DRE - Receita</x:t>
        </x:is>
      </x:c>
      <x:c r="D8" s="7" t="n">
        <x:f>IF(Entradas!$E$2=0,"indisponível: receita zero",Entradas!$E$5/Entradas!$E$2)</x:f>
        <x:v>0.36173179447600123</x:v>
      </x:c>
      <x:c r="E8" s="7" t="n">
        <x:f>IF(Entradas!$F$2=0,"indisponível: receita zero",Entradas!$F$5/Entradas!$F$2)</x:f>
        <x:v>0.32304628869609375</x:v>
      </x:c>
      <x:c r="F8" s="7" t="n">
        <x:f>IF(Entradas!$G$2=0,"indisponível: receita zero",Entradas!$G$5/Entradas!$G$2)</x:f>
        <x:v>0.3378988589318913</x:v>
      </x:c>
      <x:c r="G8" s="7" t="n">
        <x:f>IF(Entradas!$H$2=0,"indisponível: receita zero",Entradas!$H$5/Entradas!$H$2)</x:f>
        <x:v>0.3534353452835697</x:v>
      </x:c>
      <x:c r="H8" s="7" t="n">
        <x:f>IF(Entradas!$I$2=0,"indisponível: receita zero",Entradas!$I$5/Entradas!$I$2)</x:f>
        <x:v>0.38493744742011754</x:v>
      </x:c>
      <x:c r="I8" s="7" t="n">
        <x:f>IF(Entradas!$J$2=0,"indisponível: receita zero",Entradas!$J$5/Entradas!$J$2)</x:f>
        <x:v>0.40709838703367945</x:v>
      </x:c>
      <x:c r="J8" s="7" t="n">
        <x:f>IF(Entradas!$K$2=0,"indisponível: receita zero",Entradas!$K$5/Entradas!$K$2)</x:f>
        <x:v>0.4094583441501477</x:v>
      </x:c>
      <x:c r="K8" s="7" t="n">
        <x:f>IF(Entradas!$L$2=0,"indisponível: receita zero",Entradas!$L$5/Entradas!$L$2)</x:f>
        <x:v>0.41609419366668865</x:v>
      </x:c>
      <x:c r="L8" s="7" t="n">
        <x:f>IF(Entradas!$M$2=0,"indisponível: receita zero",Entradas!$M$5/Entradas!$M$2)</x:f>
        <x:v>0.4248715204556295</x:v>
      </x:c>
      <x:c r="M8" s="7" t="n">
        <x:f>IF(Entradas!$N$2=0,"indisponível: receita zero",Entradas!$N$5/Entradas!$N$2)</x:f>
        <x:v>0.4506309956861538</x:v>
      </x:c>
      <x:c r="N8" s="7" t="n">
        <x:f>IF(Entradas!$O$2=0,"indisponível: receita zero",Entradas!$O$5/Entradas!$O$2)</x:f>
        <x:v>0.47866307967521887</x:v>
      </x:c>
      <x:c r="O8" s="7" t="n">
        <x:f>IF(Entradas!$P$2=0,"indisponível: receita zero",Entradas!$P$5/Entradas!$P$2)</x:f>
        <x:v>0.5768096320237844</x:v>
      </x:c>
    </x:row>
    <x:row r="9">
      <x:c r="A9" t="inlineStr">
        <x:is>
          <x:t xml:space="preserve">Liquidez corrente</x:t>
        </x:is>
      </x:c>
      <x:c r="B9" t="inlineStr">
        <x:is>
          <x:t xml:space="preserve">índice</x:t>
        </x:is>
      </x:c>
      <x:c r="C9" t="inlineStr">
        <x:is>
          <x:t xml:space="preserve">AC / (-PC)</x:t>
        </x:is>
      </x:c>
      <x:c r="D9" s="9" t="n">
        <x:f>IF(OR(Entradas!$E$6="",Entradas!$E$12=""),"indisponível: conta ausente",IF(Entradas!$E$12&gt;=0,"pendente: PC com sinal positivo",Entradas!$E$6/-Entradas!$E$12))</x:f>
        <x:v>1.5830217300532556</x:v>
      </x:c>
      <x:c r="E9" s="9" t="n">
        <x:f>IF(OR(Entradas!$F$6="",Entradas!$F$12=""),"indisponível: conta ausente",IF(Entradas!$F$12&gt;=0,"pendente: PC com sinal positivo",Entradas!$F$6/-Entradas!$F$12))</x:f>
        <x:v>1.0514787340372858</x:v>
      </x:c>
      <x:c r="F9" s="9" t="n">
        <x:f>IF(OR(Entradas!$G$6="",Entradas!$G$12=""),"indisponível: conta ausente",IF(Entradas!$G$12&gt;=0,"pendente: PC com sinal positivo",Entradas!$G$6/-Entradas!$G$12))</x:f>
        <x:v>1.2173362516246666</x:v>
      </x:c>
      <x:c r="G9" s="9" t="n">
        <x:f>IF(OR(Entradas!$H$6="",Entradas!$H$12=""),"indisponível: conta ausente",IF(Entradas!$H$12&gt;=0,"pendente: PC com sinal positivo",Entradas!$H$6/-Entradas!$H$12))</x:f>
        <x:v>3.040269020275239</x:v>
      </x:c>
      <x:c r="H9" s="9" t="str">
        <x:f>IF(OR(Entradas!$I$6="",Entradas!$I$12=""),"indisponível: conta ausente",IF(Entradas!$I$12&gt;=0,"pendente: PC com sinal positivo",Entradas!$I$6/-Entradas!$I$12))</x:f>
        <x:v>pendente: PC com sinal positivo</x:v>
      </x:c>
      <x:c r="I9" s="9" t="str">
        <x:f>IF(OR(Entradas!$J$6="",Entradas!$J$12=""),"indisponível: conta ausente",IF(Entradas!$J$12&gt;=0,"pendente: PC com sinal positivo",Entradas!$J$6/-Entradas!$J$12))</x:f>
        <x:v>pendente: PC com sinal positivo</x:v>
      </x:c>
      <x:c r="J9" s="9" t="str">
        <x:f>IF(OR(Entradas!$K$6="",Entradas!$K$12=""),"indisponível: conta ausente",IF(Entradas!$K$12&gt;=0,"pendente: PC com sinal positivo",Entradas!$K$6/-Entradas!$K$12))</x:f>
        <x:v>pendente: PC com sinal positivo</x:v>
      </x:c>
      <x:c r="K9" s="9" t="str">
        <x:f>IF(OR(Entradas!$L$6="",Entradas!$L$12=""),"indisponível: conta ausente",IF(Entradas!$L$12&gt;=0,"pendente: PC com sinal positivo",Entradas!$L$6/-Entradas!$L$12))</x:f>
        <x:v>pendente: PC com sinal positivo</x:v>
      </x:c>
      <x:c r="L9" s="9" t="str">
        <x:f>IF(OR(Entradas!$M$6="",Entradas!$M$12=""),"indisponível: conta ausente",IF(Entradas!$M$12&gt;=0,"pendente: PC com sinal positivo",Entradas!$M$6/-Entradas!$M$12))</x:f>
        <x:v>pendente: PC com sinal positivo</x:v>
      </x:c>
      <x:c r="M9" s="9" t="str">
        <x:f>IF(OR(Entradas!$N$6="",Entradas!$N$12=""),"indisponível: conta ausente",IF(Entradas!$N$12&gt;=0,"pendente: PC com sinal positivo",Entradas!$N$6/-Entradas!$N$12))</x:f>
        <x:v>pendente: PC com sinal positivo</x:v>
      </x:c>
      <x:c r="N9" s="9" t="str">
        <x:f>IF(OR(Entradas!$O$6="",Entradas!$O$12=""),"indisponível: conta ausente",IF(Entradas!$O$12&gt;=0,"pendente: PC com sinal positivo",Entradas!$O$6/-Entradas!$O$12))</x:f>
        <x:v>pendente: PC com sinal positivo</x:v>
      </x:c>
      <x:c r="O9" s="9" t="n">
        <x:f>IF(OR(Entradas!$P$6="",Entradas!$P$12=""),"indisponível: conta ausente",IF(Entradas!$P$12&gt;=0,"pendente: PC com sinal positivo",Entradas!$P$6/-Entradas!$P$12))</x:f>
        <x:v>18.719243158546472</x:v>
      </x:c>
    </x:row>
    <x:row r="10">
      <x:c r="A10" t="inlineStr">
        <x:is>
          <x:t xml:space="preserve">Liquidez seca</x:t>
        </x:is>
      </x:c>
      <x:c r="B10" t="inlineStr">
        <x:is>
          <x:t xml:space="preserve">índice</x:t>
        </x:is>
      </x:c>
      <x:c r="C10" t="inlineStr">
        <x:is>
          <x:t xml:space="preserve">(AC - Estoques) / (-PC)</x:t>
        </x:is>
      </x:c>
      <x:c r="D10" s="9" t="n">
        <x:f>IF(OR(Entradas!$E$6="",Entradas!$E$12="",Entradas!$E$8=""),"indisponível: conta ausente",IF(Entradas!$E$12&gt;=0,"pendente: PC com sinal positivo",(Entradas!$E$6-Entradas!$E$8)/-Entradas!$E$12))</x:f>
        <x:v>1.5829415684160808</x:v>
      </x:c>
      <x:c r="E10" s="9" t="n">
        <x:f>IF(OR(Entradas!$F$6="",Entradas!$F$12="",Entradas!$F$8=""),"indisponível: conta ausente",IF(Entradas!$F$12&gt;=0,"pendente: PC com sinal positivo",(Entradas!$F$6-Entradas!$F$8)/-Entradas!$F$12))</x:f>
        <x:v>1.0514148492846451</x:v>
      </x:c>
      <x:c r="F10" s="9" t="n">
        <x:f>IF(OR(Entradas!$G$6="",Entradas!$G$12="",Entradas!$G$8=""),"indisponível: conta ausente",IF(Entradas!$G$12&gt;=0,"pendente: PC com sinal positivo",(Entradas!$G$6-Entradas!$G$8)/-Entradas!$G$12))</x:f>
        <x:v>1.2172869453320059</x:v>
      </x:c>
      <x:c r="G10" s="9" t="n">
        <x:f>IF(OR(Entradas!$H$6="",Entradas!$H$12="",Entradas!$H$8=""),"indisponível: conta ausente",IF(Entradas!$H$12&gt;=0,"pendente: PC com sinal positivo",(Entradas!$H$6-Entradas!$H$8)/-Entradas!$H$12))</x:f>
        <x:v>3.0400945749753157</x:v>
      </x:c>
      <x:c r="H10" s="9" t="str">
        <x:f>IF(OR(Entradas!$I$6="",Entradas!$I$12="",Entradas!$I$8=""),"indisponível: conta ausente",IF(Entradas!$I$12&gt;=0,"pendente: PC com sinal positivo",(Entradas!$I$6-Entradas!$I$8)/-Entradas!$I$12))</x:f>
        <x:v>pendente: PC com sinal positivo</x:v>
      </x:c>
      <x:c r="I10" s="9" t="str">
        <x:f>IF(OR(Entradas!$J$6="",Entradas!$J$12="",Entradas!$J$8=""),"indisponível: conta ausente",IF(Entradas!$J$12&gt;=0,"pendente: PC com sinal positivo",(Entradas!$J$6-Entradas!$J$8)/-Entradas!$J$12))</x:f>
        <x:v>pendente: PC com sinal positivo</x:v>
      </x:c>
      <x:c r="J10" s="9" t="str">
        <x:f>IF(OR(Entradas!$K$6="",Entradas!$K$12="",Entradas!$K$8=""),"indisponível: conta ausente",IF(Entradas!$K$12&gt;=0,"pendente: PC com sinal positivo",(Entradas!$K$6-Entradas!$K$8)/-Entradas!$K$12))</x:f>
        <x:v>pendente: PC com sinal positivo</x:v>
      </x:c>
      <x:c r="K10" s="9" t="str">
        <x:f>IF(OR(Entradas!$L$6="",Entradas!$L$12="",Entradas!$L$8=""),"indisponível: conta ausente",IF(Entradas!$L$12&gt;=0,"pendente: PC com sinal positivo",(Entradas!$L$6-Entradas!$L$8)/-Entradas!$L$12))</x:f>
        <x:v>pendente: PC com sinal positivo</x:v>
      </x:c>
      <x:c r="L10" s="9" t="str">
        <x:f>IF(OR(Entradas!$M$6="",Entradas!$M$12="",Entradas!$M$8=""),"indisponível: conta ausente",IF(Entradas!$M$12&gt;=0,"pendente: PC com sinal positivo",(Entradas!$M$6-Entradas!$M$8)/-Entradas!$M$12))</x:f>
        <x:v>pendente: PC com sinal positivo</x:v>
      </x:c>
      <x:c r="M10" s="9" t="str">
        <x:f>IF(OR(Entradas!$N$6="",Entradas!$N$12="",Entradas!$N$8=""),"indisponível: conta ausente",IF(Entradas!$N$12&gt;=0,"pendente: PC com sinal positivo",(Entradas!$N$6-Entradas!$N$8)/-Entradas!$N$12))</x:f>
        <x:v>pendente: PC com sinal positivo</x:v>
      </x:c>
      <x:c r="N10" s="9" t="str">
        <x:f>IF(OR(Entradas!$O$6="",Entradas!$O$12="",Entradas!$O$8=""),"indisponível: conta ausente",IF(Entradas!$O$12&gt;=0,"pendente: PC com sinal positivo",(Entradas!$O$6-Entradas!$O$8)/-Entradas!$O$12))</x:f>
        <x:v>pendente: PC com sinal positivo</x:v>
      </x:c>
      <x:c r="O10" s="9" t="str">
        <x:f>IF(OR(Entradas!$P$6="",Entradas!$P$12="",Entradas!$P$8=""),"indisponível: conta ausente",IF(Entradas!$P$12&gt;=0,"pendente: PC com sinal positivo",(Entradas!$P$6-Entradas!$P$8)/-Entradas!$P$12))</x:f>
        <x:v>indisponível: conta ausente</x:v>
      </x:c>
    </x:row>
    <x:row r="11">
      <x:c r="A11" t="inlineStr">
        <x:is>
          <x:t xml:space="preserve">Liquidez imediata</x:t>
        </x:is>
      </x:c>
      <x:c r="B11" t="inlineStr">
        <x:is>
          <x:t xml:space="preserve">índice</x:t>
        </x:is>
      </x:c>
      <x:c r="C11" t="inlineStr">
        <x:is>
          <x:t xml:space="preserve">Disponível / (-PC)</x:t>
        </x:is>
      </x:c>
      <x:c r="D11" s="9" t="n">
        <x:f>IF(OR(Entradas!$E$7="",Entradas!$E$12=""),"indisponível: conta ausente",IF(Entradas!$E$12&gt;=0,"pendente: PC com sinal positivo",Entradas!$E$7/-Entradas!$E$12))</x:f>
        <x:v>1.0345307240984403</x:v>
      </x:c>
      <x:c r="E11" s="9" t="n">
        <x:f>IF(OR(Entradas!$F$7="",Entradas!$F$12=""),"indisponível: conta ausente",IF(Entradas!$F$12&gt;=0,"pendente: PC com sinal positivo",Entradas!$F$7/-Entradas!$F$12))</x:f>
        <x:v>0.6472056132110163</x:v>
      </x:c>
      <x:c r="F11" s="9" t="n">
        <x:f>IF(OR(Entradas!$G$7="",Entradas!$G$12=""),"indisponível: conta ausente",IF(Entradas!$G$12&gt;=0,"pendente: PC com sinal positivo",Entradas!$G$7/-Entradas!$G$12))</x:f>
        <x:v>0.9054769389678645</x:v>
      </x:c>
      <x:c r="G11" s="9" t="n">
        <x:f>IF(OR(Entradas!$H$7="",Entradas!$H$12=""),"indisponível: conta ausente",IF(Entradas!$H$12&gt;=0,"pendente: PC com sinal positivo",Entradas!$H$7/-Entradas!$H$12))</x:f>
        <x:v>1.946275178146159</x:v>
      </x:c>
      <x:c r="H11" s="9" t="str">
        <x:f>IF(OR(Entradas!$I$7="",Entradas!$I$12=""),"indisponível: conta ausente",IF(Entradas!$I$12&gt;=0,"pendente: PC com sinal positivo",Entradas!$I$7/-Entradas!$I$12))</x:f>
        <x:v>pendente: PC com sinal positivo</x:v>
      </x:c>
      <x:c r="I11" s="9" t="str">
        <x:f>IF(OR(Entradas!$J$7="",Entradas!$J$12=""),"indisponível: conta ausente",IF(Entradas!$J$12&gt;=0,"pendente: PC com sinal positivo",Entradas!$J$7/-Entradas!$J$12))</x:f>
        <x:v>pendente: PC com sinal positivo</x:v>
      </x:c>
      <x:c r="J11" s="9" t="str">
        <x:f>IF(OR(Entradas!$K$7="",Entradas!$K$12=""),"indisponível: conta ausente",IF(Entradas!$K$12&gt;=0,"pendente: PC com sinal positivo",Entradas!$K$7/-Entradas!$K$12))</x:f>
        <x:v>pendente: PC com sinal positivo</x:v>
      </x:c>
      <x:c r="K11" s="9" t="str">
        <x:f>IF(OR(Entradas!$L$7="",Entradas!$L$12=""),"indisponível: conta ausente",IF(Entradas!$L$12&gt;=0,"pendente: PC com sinal positivo",Entradas!$L$7/-Entradas!$L$12))</x:f>
        <x:v>pendente: PC com sinal positivo</x:v>
      </x:c>
      <x:c r="L11" s="9" t="str">
        <x:f>IF(OR(Entradas!$M$7="",Entradas!$M$12=""),"indisponível: conta ausente",IF(Entradas!$M$12&gt;=0,"pendente: PC com sinal positivo",Entradas!$M$7/-Entradas!$M$12))</x:f>
        <x:v>pendente: PC com sinal positivo</x:v>
      </x:c>
      <x:c r="M11" s="9" t="str">
        <x:f>IF(OR(Entradas!$N$7="",Entradas!$N$12=""),"indisponível: conta ausente",IF(Entradas!$N$12&gt;=0,"pendente: PC com sinal positivo",Entradas!$N$7/-Entradas!$N$12))</x:f>
        <x:v>pendente: PC com sinal positivo</x:v>
      </x:c>
      <x:c r="N11" s="9" t="str">
        <x:f>IF(OR(Entradas!$O$7="",Entradas!$O$12=""),"indisponível: conta ausente",IF(Entradas!$O$12&gt;=0,"pendente: PC com sinal positivo",Entradas!$O$7/-Entradas!$O$12))</x:f>
        <x:v>pendente: PC com sinal positivo</x:v>
      </x:c>
      <x:c r="O11" s="9" t="n">
        <x:f>IF(OR(Entradas!$P$7="",Entradas!$P$12=""),"indisponível: conta ausente",IF(Entradas!$P$12&gt;=0,"pendente: PC com sinal positivo",Entradas!$P$7/-Entradas!$P$12))</x:f>
        <x:v>19.853472926895776</x:v>
      </x:c>
    </x:row>
    <x:row r="12">
      <x:c r="A12" t="inlineStr">
        <x:is>
          <x:t xml:space="preserve">Liquidez geral</x:t>
        </x:is>
      </x:c>
      <x:c r="B12" t="inlineStr">
        <x:is>
          <x:t xml:space="preserve">índice</x:t>
        </x:is>
      </x:c>
      <x:c r="C12" t="inlineStr">
        <x:is>
          <x:t xml:space="preserve">(AC + RLP) / ((-PC) + (-ELP))</x:t>
        </x:is>
      </x:c>
      <x:c r="D12" s="9" t="n">
        <x:f>IF(OR(Entradas!$E$6="",Entradas!$E$9="",Entradas!$E$12="",Entradas!$E$13=""),"indisponível: conta ausente",IF(Entradas!$E$12&gt;=0,"pendente: PC com sinal positivo",(Entradas!$E$6+Entradas!$E$9)/(-Entradas!$E$12-Entradas!$E$13)))</x:f>
        <x:v>0.27282543630971706</x:v>
      </x:c>
      <x:c r="E12" s="9" t="n">
        <x:f>IF(OR(Entradas!$F$6="",Entradas!$F$9="",Entradas!$F$12="",Entradas!$F$13=""),"indisponível: conta ausente",IF(Entradas!$F$12&gt;=0,"pendente: PC com sinal positivo",(Entradas!$F$6+Entradas!$F$9)/(-Entradas!$F$12-Entradas!$F$13)))</x:f>
        <x:v>0.2620830950836168</x:v>
      </x:c>
      <x:c r="F12" s="9" t="n">
        <x:f>IF(OR(Entradas!$G$6="",Entradas!$G$9="",Entradas!$G$12="",Entradas!$G$13=""),"indisponível: conta ausente",IF(Entradas!$G$12&gt;=0,"pendente: PC com sinal positivo",(Entradas!$G$6+Entradas!$G$9)/(-Entradas!$G$12-Entradas!$G$13)))</x:f>
        <x:v>0.3593823904598183</x:v>
      </x:c>
      <x:c r="G12" s="9" t="n">
        <x:f>IF(OR(Entradas!$H$6="",Entradas!$H$9="",Entradas!$H$12="",Entradas!$H$13=""),"indisponível: conta ausente",IF(Entradas!$H$12&gt;=0,"pendente: PC com sinal positivo",(Entradas!$H$6+Entradas!$H$9)/(-Entradas!$H$12-Entradas!$H$13)))</x:f>
        <x:v>0.3574818952322965</x:v>
      </x:c>
      <x:c r="H12" s="9" t="str">
        <x:f>IF(OR(Entradas!$I$6="",Entradas!$I$9="",Entradas!$I$12="",Entradas!$I$13=""),"indisponível: conta ausente",IF(Entradas!$I$12&gt;=0,"pendente: PC com sinal positivo",(Entradas!$I$6+Entradas!$I$9)/(-Entradas!$I$12-Entradas!$I$13)))</x:f>
        <x:v>pendente: PC com sinal positivo</x:v>
      </x:c>
      <x:c r="I12" s="9" t="str">
        <x:f>IF(OR(Entradas!$J$6="",Entradas!$J$9="",Entradas!$J$12="",Entradas!$J$13=""),"indisponível: conta ausente",IF(Entradas!$J$12&gt;=0,"pendente: PC com sinal positivo",(Entradas!$J$6+Entradas!$J$9)/(-Entradas!$J$12-Entradas!$J$13)))</x:f>
        <x:v>pendente: PC com sinal positivo</x:v>
      </x:c>
      <x:c r="J12" s="9" t="str">
        <x:f>IF(OR(Entradas!$K$6="",Entradas!$K$9="",Entradas!$K$12="",Entradas!$K$13=""),"indisponível: conta ausente",IF(Entradas!$K$12&gt;=0,"pendente: PC com sinal positivo",(Entradas!$K$6+Entradas!$K$9)/(-Entradas!$K$12-Entradas!$K$13)))</x:f>
        <x:v>pendente: PC com sinal positivo</x:v>
      </x:c>
      <x:c r="K12" s="9" t="str">
        <x:f>IF(OR(Entradas!$L$6="",Entradas!$L$9="",Entradas!$L$12="",Entradas!$L$13=""),"indisponível: conta ausente",IF(Entradas!$L$12&gt;=0,"pendente: PC com sinal positivo",(Entradas!$L$6+Entradas!$L$9)/(-Entradas!$L$12-Entradas!$L$13)))</x:f>
        <x:v>pendente: PC com sinal positivo</x:v>
      </x:c>
      <x:c r="L12" s="9" t="str">
        <x:f>IF(OR(Entradas!$M$6="",Entradas!$M$9="",Entradas!$M$12="",Entradas!$M$13=""),"indisponível: conta ausente",IF(Entradas!$M$12&gt;=0,"pendente: PC com sinal positivo",(Entradas!$M$6+Entradas!$M$9)/(-Entradas!$M$12-Entradas!$M$13)))</x:f>
        <x:v>pendente: PC com sinal positivo</x:v>
      </x:c>
      <x:c r="M12" s="9" t="str">
        <x:f>IF(OR(Entradas!$N$6="",Entradas!$N$9="",Entradas!$N$12="",Entradas!$N$13=""),"indisponível: conta ausente",IF(Entradas!$N$12&gt;=0,"pendente: PC com sinal positivo",(Entradas!$N$6+Entradas!$N$9)/(-Entradas!$N$12-Entradas!$N$13)))</x:f>
        <x:v>pendente: PC com sinal positivo</x:v>
      </x:c>
      <x:c r="N12" s="9" t="str">
        <x:f>IF(OR(Entradas!$O$6="",Entradas!$O$9="",Entradas!$O$12="",Entradas!$O$13=""),"indisponível: conta ausente",IF(Entradas!$O$12&gt;=0,"pendente: PC com sinal positivo",(Entradas!$O$6+Entradas!$O$9)/(-Entradas!$O$12-Entradas!$O$13)))</x:f>
        <x:v>pendente: PC com sinal positivo</x:v>
      </x:c>
      <x:c r="O12" s="9" t="str">
        <x:f>IF(OR(Entradas!$P$6="",Entradas!$P$9="",Entradas!$P$12="",Entradas!$P$13=""),"indisponível: conta ausente",IF(Entradas!$P$12&gt;=0,"pendente: PC com sinal positivo",(Entradas!$P$6+Entradas!$P$9)/(-Entradas!$P$12-Entradas!$P$13)))</x:f>
        <x:v>indisponível: conta ausente</x:v>
      </x:c>
    </x:row>
    <x:row r="13">
      <x:c r="A13" t="inlineStr">
        <x:is>
          <x:t xml:space="preserve">Endividamento geral</x:t>
        </x:is>
      </x:c>
      <x:c r="B13" t="inlineStr">
        <x:is>
          <x:t xml:space="preserve">%</x:t>
        </x:is>
      </x:c>
      <x:c r="C13" t="inlineStr">
        <x:is>
          <x:t xml:space="preserve">((-PC) + (-ELP)) / Total do Ativo</x:t>
        </x:is>
      </x:c>
      <x:c r="D13" s="7" t="n">
        <x:f>IF(OR(Entradas!$E$12="",Entradas!$E$13="",Entradas!$E$11=""),"indisponível: conta ausente",IF(Entradas!$E$12&gt;=0,"pendente: PC com sinal positivo",(-Entradas!$E$12-Entradas!$E$13)/Entradas!$E$11))</x:f>
        <x:v>0.8125868845778612</x:v>
      </x:c>
      <x:c r="E13" s="7" t="n">
        <x:f>IF(OR(Entradas!$F$12="",Entradas!$F$13="",Entradas!$F$11=""),"indisponível: conta ausente",IF(Entradas!$F$12&gt;=0,"pendente: PC com sinal positivo",(-Entradas!$F$12-Entradas!$F$13)/Entradas!$F$11))</x:f>
        <x:v>0.8639046000353854</x:v>
      </x:c>
      <x:c r="F13" s="7" t="n">
        <x:f>IF(OR(Entradas!$G$12="",Entradas!$G$13="",Entradas!$G$11=""),"indisponível: conta ausente",IF(Entradas!$G$12&gt;=0,"pendente: PC com sinal positivo",(-Entradas!$G$12-Entradas!$G$13)/Entradas!$G$11))</x:f>
        <x:v>0.8654664506568766</x:v>
      </x:c>
      <x:c r="G13" s="7" t="n">
        <x:f>IF(OR(Entradas!$H$12="",Entradas!$H$13="",Entradas!$H$11=""),"indisponível: conta ausente",IF(Entradas!$H$12&gt;=0,"pendente: PC com sinal positivo",(-Entradas!$H$12-Entradas!$H$13)/Entradas!$H$11))</x:f>
        <x:v>0.8392122967431962</x:v>
      </x:c>
      <x:c r="H13" s="7" t="str">
        <x:f>IF(OR(Entradas!$I$12="",Entradas!$I$13="",Entradas!$I$11=""),"indisponível: conta ausente",IF(Entradas!$I$12&gt;=0,"pendente: PC com sinal positivo",(-Entradas!$I$12-Entradas!$I$13)/Entradas!$I$11))</x:f>
        <x:v>pendente: PC com sinal positivo</x:v>
      </x:c>
      <x:c r="I13" s="7" t="str">
        <x:f>IF(OR(Entradas!$J$12="",Entradas!$J$13="",Entradas!$J$11=""),"indisponível: conta ausente",IF(Entradas!$J$12&gt;=0,"pendente: PC com sinal positivo",(-Entradas!$J$12-Entradas!$J$13)/Entradas!$J$11))</x:f>
        <x:v>pendente: PC com sinal positivo</x:v>
      </x:c>
      <x:c r="J13" s="7" t="str">
        <x:f>IF(OR(Entradas!$K$12="",Entradas!$K$13="",Entradas!$K$11=""),"indisponível: conta ausente",IF(Entradas!$K$12&gt;=0,"pendente: PC com sinal positivo",(-Entradas!$K$12-Entradas!$K$13)/Entradas!$K$11))</x:f>
        <x:v>pendente: PC com sinal positivo</x:v>
      </x:c>
      <x:c r="K13" s="7" t="str">
        <x:f>IF(OR(Entradas!$L$12="",Entradas!$L$13="",Entradas!$L$11=""),"indisponível: conta ausente",IF(Entradas!$L$12&gt;=0,"pendente: PC com sinal positivo",(-Entradas!$L$12-Entradas!$L$13)/Entradas!$L$11))</x:f>
        <x:v>pendente: PC com sinal positivo</x:v>
      </x:c>
      <x:c r="L13" s="7" t="str">
        <x:f>IF(OR(Entradas!$M$12="",Entradas!$M$13="",Entradas!$M$11=""),"indisponível: conta ausente",IF(Entradas!$M$12&gt;=0,"pendente: PC com sinal positivo",(-Entradas!$M$12-Entradas!$M$13)/Entradas!$M$11))</x:f>
        <x:v>pendente: PC com sinal positivo</x:v>
      </x:c>
      <x:c r="M13" s="7" t="str">
        <x:f>IF(OR(Entradas!$N$12="",Entradas!$N$13="",Entradas!$N$11=""),"indisponível: conta ausente",IF(Entradas!$N$12&gt;=0,"pendente: PC com sinal positivo",(-Entradas!$N$12-Entradas!$N$13)/Entradas!$N$11))</x:f>
        <x:v>pendente: PC com sinal positivo</x:v>
      </x:c>
      <x:c r="N13" s="7" t="str">
        <x:f>IF(OR(Entradas!$O$12="",Entradas!$O$13="",Entradas!$O$11=""),"indisponível: conta ausente",IF(Entradas!$O$12&gt;=0,"pendente: PC com sinal positivo",(-Entradas!$O$12-Entradas!$O$13)/Entradas!$O$11))</x:f>
        <x:v>pendente: PC com sinal positivo</x:v>
      </x:c>
      <x:c r="O13" s="7" t="str">
        <x:f>IF(OR(Entradas!$P$12="",Entradas!$P$13="",Entradas!$P$11=""),"indisponível: conta ausente",IF(Entradas!$P$12&gt;=0,"pendente: PC com sinal positivo",(-Entradas!$P$12-Entradas!$P$13)/Entradas!$P$11))</x:f>
        <x:v>indisponível: conta ausente</x:v>
      </x:c>
    </x:row>
    <x:row r="14">
      <x:c r="A14" t="inlineStr">
        <x:is>
          <x:t xml:space="preserve">Participação de capital de terceiros</x:t>
        </x:is>
      </x:c>
      <x:c r="B14" t="inlineStr">
        <x:is>
          <x:t xml:space="preserve">índice</x:t>
        </x:is>
      </x:c>
      <x:c r="C14" t="inlineStr">
        <x:is>
          <x:t xml:space="preserve">((-PC) + (-ELP)) / (-PL)</x:t>
        </x:is>
      </x:c>
      <x:c r="D14" s="9" t="n">
        <x:f>IF(OR(Entradas!$E$12="",Entradas!$E$13="",Entradas!$E$14=""),"indisponível: conta ausente",IF(Entradas!$E$12&gt;=0,"pendente: PC com sinal positivo",(-Entradas!$E$12-Entradas!$E$13)/-Entradas!$E$14))</x:f>
        <x:v>4.335805862667767</x:v>
      </x:c>
      <x:c r="E14" s="9" t="n">
        <x:f>IF(OR(Entradas!$F$12="",Entradas!$F$13="",Entradas!$F$14=""),"indisponível: conta ausente",IF(Entradas!$F$12&gt;=0,"pendente: PC com sinal positivo",(-Entradas!$F$12-Entradas!$F$13)/-Entradas!$F$14))</x:f>
        <x:v>6.347786922081749</x:v>
      </x:c>
      <x:c r="F14" s="9" t="n">
        <x:f>IF(OR(Entradas!$G$12="",Entradas!$G$13="",Entradas!$G$14=""),"indisponível: conta ausente",IF(Entradas!$G$12&gt;=0,"pendente: PC com sinal positivo",(-Entradas!$G$12-Entradas!$G$13)/-Entradas!$G$14))</x:f>
        <x:v>6.433090146640941</x:v>
      </x:c>
      <x:c r="G14" s="9" t="n">
        <x:f>IF(OR(Entradas!$H$12="",Entradas!$H$13="",Entradas!$H$14=""),"indisponível: conta ausente",IF(Entradas!$H$12&gt;=0,"pendente: PC com sinal positivo",(-Entradas!$H$12-Entradas!$H$13)/-Entradas!$H$14))</x:f>
        <x:v>5.219381082995853</x:v>
      </x:c>
      <x:c r="H14" s="9" t="str">
        <x:f>IF(OR(Entradas!$I$12="",Entradas!$I$13="",Entradas!$I$14=""),"indisponível: conta ausente",IF(Entradas!$I$12&gt;=0,"pendente: PC com sinal positivo",(-Entradas!$I$12-Entradas!$I$13)/-Entradas!$I$14))</x:f>
        <x:v>pendente: PC com sinal positivo</x:v>
      </x:c>
      <x:c r="I14" s="9" t="str">
        <x:f>IF(OR(Entradas!$J$12="",Entradas!$J$13="",Entradas!$J$14=""),"indisponível: conta ausente",IF(Entradas!$J$12&gt;=0,"pendente: PC com sinal positivo",(-Entradas!$J$12-Entradas!$J$13)/-Entradas!$J$14))</x:f>
        <x:v>pendente: PC com sinal positivo</x:v>
      </x:c>
      <x:c r="J14" s="9" t="str">
        <x:f>IF(OR(Entradas!$K$12="",Entradas!$K$13="",Entradas!$K$14=""),"indisponível: conta ausente",IF(Entradas!$K$12&gt;=0,"pendente: PC com sinal positivo",(-Entradas!$K$12-Entradas!$K$13)/-Entradas!$K$14))</x:f>
        <x:v>pendente: PC com sinal positivo</x:v>
      </x:c>
      <x:c r="K14" s="9" t="str">
        <x:f>IF(OR(Entradas!$L$12="",Entradas!$L$13="",Entradas!$L$14=""),"indisponível: conta ausente",IF(Entradas!$L$12&gt;=0,"pendente: PC com sinal positivo",(-Entradas!$L$12-Entradas!$L$13)/-Entradas!$L$14))</x:f>
        <x:v>pendente: PC com sinal positivo</x:v>
      </x:c>
      <x:c r="L14" s="9" t="str">
        <x:f>IF(OR(Entradas!$M$12="",Entradas!$M$13="",Entradas!$M$14=""),"indisponível: conta ausente",IF(Entradas!$M$12&gt;=0,"pendente: PC com sinal positivo",(-Entradas!$M$12-Entradas!$M$13)/-Entradas!$M$14))</x:f>
        <x:v>pendente: PC com sinal positivo</x:v>
      </x:c>
      <x:c r="M14" s="9" t="str">
        <x:f>IF(OR(Entradas!$N$12="",Entradas!$N$13="",Entradas!$N$14=""),"indisponível: conta ausente",IF(Entradas!$N$12&gt;=0,"pendente: PC com sinal positivo",(-Entradas!$N$12-Entradas!$N$13)/-Entradas!$N$14))</x:f>
        <x:v>pendente: PC com sinal positivo</x:v>
      </x:c>
      <x:c r="N14" s="9" t="str">
        <x:f>IF(OR(Entradas!$O$12="",Entradas!$O$13="",Entradas!$O$14=""),"indisponível: conta ausente",IF(Entradas!$O$12&gt;=0,"pendente: PC com sinal positivo",(-Entradas!$O$12-Entradas!$O$13)/-Entradas!$O$14))</x:f>
        <x:v>pendente: PC com sinal positivo</x:v>
      </x:c>
      <x:c r="O14" s="9" t="str">
        <x:f>IF(OR(Entradas!$P$12="",Entradas!$P$13="",Entradas!$P$14=""),"indisponível: conta ausente",IF(Entradas!$P$12&gt;=0,"pendente: PC com sinal positivo",(-Entradas!$P$12-Entradas!$P$13)/-Entradas!$P$14))</x:f>
        <x:v>indisponível: conta ausente</x:v>
      </x:c>
    </x:row>
    <x:row r="15">
      <x:c r="A15" t="inlineStr">
        <x:is>
          <x:t xml:space="preserve">Composição do endividamento</x:t>
        </x:is>
      </x:c>
      <x:c r="B15" t="inlineStr">
        <x:is>
          <x:t xml:space="preserve">%</x:t>
        </x:is>
      </x:c>
      <x:c r="C15" t="inlineStr">
        <x:is>
          <x:t xml:space="preserve">(-PC) / ((-PC) + (-ELP))</x:t>
        </x:is>
      </x:c>
      <x:c r="D15" s="7" t="n">
        <x:f>IF(OR(Entradas!$E$12="",Entradas!$E$13=""),"indisponível: conta ausente",IF(Entradas!$E$12&gt;=0,"pendente: PC com sinal positivo",-Entradas!$E$12/(-Entradas!$E$12-Entradas!$E$13)))</x:f>
        <x:v>0.12541015629392016</x:v>
      </x:c>
      <x:c r="E15" s="7" t="n">
        <x:f>IF(OR(Entradas!$F$12="",Entradas!$F$13=""),"indisponível: conta ausente",IF(Entradas!$F$12&gt;=0,"pendente: PC com sinal positivo",-Entradas!$F$12/(-Entradas!$F$12-Entradas!$F$13)))</x:f>
        <x:v>0.1524903294290519</x:v>
      </x:c>
      <x:c r="F15" s="7" t="n">
        <x:f>IF(OR(Entradas!$G$12="",Entradas!$G$13=""),"indisponível: conta ausente",IF(Entradas!$G$12&gt;=0,"pendente: PC com sinal positivo",-Entradas!$G$12/(-Entradas!$G$12-Entradas!$G$13)))</x:f>
        <x:v>0.189053496593705</x:v>
      </x:c>
      <x:c r="G15" s="7" t="n">
        <x:f>IF(OR(Entradas!$H$12="",Entradas!$H$13=""),"indisponível: conta ausente",IF(Entradas!$H$12&gt;=0,"pendente: PC com sinal positivo",-Entradas!$H$12/(-Entradas!$H$12-Entradas!$H$13)))</x:f>
        <x:v>0.06181903243242993</x:v>
      </x:c>
      <x:c r="H15" s="7" t="str">
        <x:f>IF(OR(Entradas!$I$12="",Entradas!$I$13=""),"indisponível: conta ausente",IF(Entradas!$I$12&gt;=0,"pendente: PC com sinal positivo",-Entradas!$I$12/(-Entradas!$I$12-Entradas!$I$13)))</x:f>
        <x:v>pendente: PC com sinal positivo</x:v>
      </x:c>
      <x:c r="I15" s="7" t="str">
        <x:f>IF(OR(Entradas!$J$12="",Entradas!$J$13=""),"indisponível: conta ausente",IF(Entradas!$J$12&gt;=0,"pendente: PC com sinal positivo",-Entradas!$J$12/(-Entradas!$J$12-Entradas!$J$13)))</x:f>
        <x:v>pendente: PC com sinal positivo</x:v>
      </x:c>
      <x:c r="J15" s="7" t="str">
        <x:f>IF(OR(Entradas!$K$12="",Entradas!$K$13=""),"indisponível: conta ausente",IF(Entradas!$K$12&gt;=0,"pendente: PC com sinal positivo",-Entradas!$K$12/(-Entradas!$K$12-Entradas!$K$13)))</x:f>
        <x:v>pendente: PC com sinal positivo</x:v>
      </x:c>
      <x:c r="K15" s="7" t="str">
        <x:f>IF(OR(Entradas!$L$12="",Entradas!$L$13=""),"indisponível: conta ausente",IF(Entradas!$L$12&gt;=0,"pendente: PC com sinal positivo",-Entradas!$L$12/(-Entradas!$L$12-Entradas!$L$13)))</x:f>
        <x:v>pendente: PC com sinal positivo</x:v>
      </x:c>
      <x:c r="L15" s="7" t="str">
        <x:f>IF(OR(Entradas!$M$12="",Entradas!$M$13=""),"indisponível: conta ausente",IF(Entradas!$M$12&gt;=0,"pendente: PC com sinal positivo",-Entradas!$M$12/(-Entradas!$M$12-Entradas!$M$13)))</x:f>
        <x:v>pendente: PC com sinal positivo</x:v>
      </x:c>
      <x:c r="M15" s="7" t="str">
        <x:f>IF(OR(Entradas!$N$12="",Entradas!$N$13=""),"indisponível: conta ausente",IF(Entradas!$N$12&gt;=0,"pendente: PC com sinal positivo",-Entradas!$N$12/(-Entradas!$N$12-Entradas!$N$13)))</x:f>
        <x:v>pendente: PC com sinal positivo</x:v>
      </x:c>
      <x:c r="N15" s="7" t="str">
        <x:f>IF(OR(Entradas!$O$12="",Entradas!$O$13=""),"indisponível: conta ausente",IF(Entradas!$O$12&gt;=0,"pendente: PC com sinal positivo",-Entradas!$O$12/(-Entradas!$O$12-Entradas!$O$13)))</x:f>
        <x:v>pendente: PC com sinal positivo</x:v>
      </x:c>
      <x:c r="O15" s="7" t="str">
        <x:f>IF(OR(Entradas!$P$12="",Entradas!$P$13=""),"indisponível: conta ausente",IF(Entradas!$P$12&gt;=0,"pendente: PC com sinal positivo",-Entradas!$P$12/(-Entradas!$P$12-Entradas!$P$13)))</x:f>
        <x:v>indisponível: conta ausente</x:v>
      </x:c>
    </x:row>
    <x:row r="16">
      <x:c r="A16" t="inlineStr">
        <x:is>
          <x:t xml:space="preserve">EVA simplificado</x:t>
        </x:is>
      </x:c>
      <x:c r="B16" t="inlineStr">
        <x:is>
          <x:t xml:space="preserve">R$</x:t>
        </x:is>
      </x:c>
      <x:c r="C16" t="inlineStr">
        <x:is>
          <x:t xml:space="preserve">Resultado Líquido - custo do capital próprio x (-PL)</x:t>
        </x:is>
      </x:c>
      <x:c r="D16" s="6" t="n">
        <x:f>IF(OR(Entradas!$E$5="",Entradas!$E$14=""),"indisponível: conta ausente",Entradas!$E$5-TAXA*-Entradas!$E$14)</x:f>
        <x:v>2217334841.760396</x:v>
      </x:c>
      <x:c r="E16" s="6" t="n">
        <x:f>IF(OR(Entradas!$F$5="",Entradas!$F$14=""),"indisponível: conta ausente",Entradas!$F$5-TAXA*-Entradas!$F$14)</x:f>
        <x:v>1827167458.0887413</x:v>
      </x:c>
      <x:c r="F16" s="6" t="n">
        <x:f>IF(OR(Entradas!$G$5="",Entradas!$G$14=""),"indisponível: conta ausente",Entradas!$G$5-TAXA*-Entradas!$G$14)</x:f>
        <x:v>1969033006.9805636</x:v>
      </x:c>
      <x:c r="G16" s="6" t="n">
        <x:f>IF(OR(Entradas!$H$5="",Entradas!$H$14=""),"indisponível: conta ausente",Entradas!$H$5-TAXA*-Entradas!$H$14)</x:f>
        <x:v>2148482107.445259</x:v>
      </x:c>
      <x:c r="H16" s="6" t="n">
        <x:f>IF(OR(Entradas!$I$5="",Entradas!$I$14=""),"indisponível: conta ausente",Entradas!$I$5-TAXA*-Entradas!$I$14)</x:f>
        <x:v>2463748930.8292055</x:v>
      </x:c>
      <x:c r="I16" s="6" t="n">
        <x:f>IF(OR(Entradas!$J$5="",Entradas!$J$14=""),"indisponível: conta ausente",Entradas!$J$5-TAXA*-Entradas!$J$14)</x:f>
        <x:v>2760464178.2363944</x:v>
      </x:c>
      <x:c r="J16" s="6" t="n">
        <x:f>IF(OR(Entradas!$K$5="",Entradas!$K$14=""),"indisponível: conta ausente",Entradas!$K$5-TAXA*-Entradas!$K$14)</x:f>
        <x:v>2936393058.2658143</x:v>
      </x:c>
      <x:c r="K16" s="6" t="n">
        <x:f>IF(OR(Entradas!$L$5="",Entradas!$L$14=""),"indisponível: conta ausente",Entradas!$L$5-TAXA*-Entradas!$L$14)</x:f>
        <x:v>3172502449.481676</x:v>
      </x:c>
      <x:c r="L16" s="6" t="n">
        <x:f>IF(OR(Entradas!$M$5="",Entradas!$M$14=""),"indisponível: conta ausente",Entradas!$M$5-TAXA*-Entradas!$M$14)</x:f>
        <x:v>3421126943.081316</x:v>
      </x:c>
      <x:c r="M16" s="6" t="n">
        <x:f>IF(OR(Entradas!$N$5="",Entradas!$N$14=""),"indisponível: conta ausente",Entradas!$N$5-TAXA*-Entradas!$N$14)</x:f>
        <x:v>3852317503.312052</x:v>
      </x:c>
      <x:c r="N16" s="6" t="n">
        <x:f>IF(OR(Entradas!$O$5="",Entradas!$O$14=""),"indisponível: conta ausente",Entradas!$O$5-TAXA*-Entradas!$O$14)</x:f>
        <x:v>4333926262.152638</x:v>
      </x:c>
      <x:c r="O16" s="6" t="str">
        <x:f>IF(OR(Entradas!$P$5="",Entradas!$P$14=""),"indisponível: conta ausente",Entradas!$P$5-TAXA*-Entradas!$P$14)</x:f>
        <x:v>indisponível: conta ausente</x:v>
      </x:c>
    </x:row>
    <x:row r="17">
      <x:c r="A17" t="inlineStr">
        <x:is>
          <x:t xml:space="preserve">CAC simulado</x:t>
        </x:is>
      </x:c>
      <x:c r="B17" t="inlineStr">
        <x:is>
          <x:t xml:space="preserve">R$ por cliente</x:t>
        </x:is>
      </x:c>
      <x:c r="C17" t="inlineStr">
        <x:is>
          <x:t xml:space="preserve">premissa do modelo</x:t>
        </x:is>
      </x:c>
      <x:c r="D17" s="6" t="n">
        <x:f>CAC</x:f>
        <x:v>4000</x:v>
      </x:c>
      <x:c r="E17" s="6" t="n">
        <x:f>CAC</x:f>
        <x:v>4000</x:v>
      </x:c>
      <x:c r="F17" s="6" t="n">
        <x:f>CAC</x:f>
        <x:v>4000</x:v>
      </x:c>
      <x:c r="G17" s="6" t="n">
        <x:f>CAC</x:f>
        <x:v>4000</x:v>
      </x:c>
      <x:c r="H17" s="6" t="n">
        <x:f>CAC</x:f>
        <x:v>4000</x:v>
      </x:c>
      <x:c r="I17" s="6" t="n">
        <x:f>CAC</x:f>
        <x:v>4000</x:v>
      </x:c>
      <x:c r="J17" s="6" t="n">
        <x:f>CAC</x:f>
        <x:v>4000</x:v>
      </x:c>
      <x:c r="K17" s="6" t="n">
        <x:f>CAC</x:f>
        <x:v>4000</x:v>
      </x:c>
      <x:c r="L17" s="6" t="n">
        <x:f>CAC</x:f>
        <x:v>4000</x:v>
      </x:c>
      <x:c r="M17" s="6" t="n">
        <x:f>CAC</x:f>
        <x:v>4000</x:v>
      </x:c>
      <x:c r="N17" s="6" t="n">
        <x:f>CAC</x:f>
        <x:v>4000</x:v>
      </x:c>
      <x:c r="O17" s="6" t="n">
        <x:f>CAC</x:f>
        <x:v>4000</x:v>
      </x:c>
    </x:row>
    <x:row r="18">
      <x:c r="A18" t="inlineStr">
        <x:is>
          <x:t xml:space="preserve">LTV simulado</x:t>
        </x:is>
      </x:c>
      <x:c r="B18" t="inlineStr">
        <x:is>
          <x:t xml:space="preserve">R$ por cliente</x:t>
        </x:is>
      </x:c>
      <x:c r="C18" t="inlineStr">
        <x:is>
          <x:t xml:space="preserve">premissa do modelo</x:t>
        </x:is>
      </x:c>
      <x:c r="D18" s="6" t="n">
        <x:f>LTV</x:f>
        <x:v>45000</x:v>
      </x:c>
      <x:c r="E18" s="6" t="n">
        <x:f>LTV</x:f>
        <x:v>45000</x:v>
      </x:c>
      <x:c r="F18" s="6" t="n">
        <x:f>LTV</x:f>
        <x:v>45000</x:v>
      </x:c>
      <x:c r="G18" s="6" t="n">
        <x:f>LTV</x:f>
        <x:v>45000</x:v>
      </x:c>
      <x:c r="H18" s="6" t="n">
        <x:f>LTV</x:f>
        <x:v>45000</x:v>
      </x:c>
      <x:c r="I18" s="6" t="n">
        <x:f>LTV</x:f>
        <x:v>45000</x:v>
      </x:c>
      <x:c r="J18" s="6" t="n">
        <x:f>LTV</x:f>
        <x:v>45000</x:v>
      </x:c>
      <x:c r="K18" s="6" t="n">
        <x:f>LTV</x:f>
        <x:v>45000</x:v>
      </x:c>
      <x:c r="L18" s="6" t="n">
        <x:f>LTV</x:f>
        <x:v>45000</x:v>
      </x:c>
      <x:c r="M18" s="6" t="n">
        <x:f>LTV</x:f>
        <x:v>45000</x:v>
      </x:c>
      <x:c r="N18" s="6" t="n">
        <x:f>LTV</x:f>
        <x:v>45000</x:v>
      </x:c>
      <x:c r="O18" s="6" t="n">
        <x:f>LTV</x:f>
        <x:v>45000</x:v>
      </x:c>
    </x:row>
    <x:row r="19">
      <x:c r="A19" t="inlineStr">
        <x:is>
          <x:t xml:space="preserve">LTV / CAC</x:t>
        </x:is>
      </x:c>
      <x:c r="B19" t="inlineStr">
        <x:is>
          <x:t xml:space="preserve">vezes</x:t>
        </x:is>
      </x:c>
      <x:c r="C19" t="inlineStr">
        <x:is>
          <x:t xml:space="preserve">LTV / CAC</x:t>
        </x:is>
      </x:c>
      <x:c r="D19" s="9" t="n">
        <x:f>IF(CAC=0,"indisponível: CAC zero",LTV/CAC)</x:f>
        <x:v>11.25</x:v>
      </x:c>
      <x:c r="E19" s="9" t="n">
        <x:f>IF(CAC=0,"indisponível: CAC zero",LTV/CAC)</x:f>
        <x:v>11.25</x:v>
      </x:c>
      <x:c r="F19" s="9" t="n">
        <x:f>IF(CAC=0,"indisponível: CAC zero",LTV/CAC)</x:f>
        <x:v>11.25</x:v>
      </x:c>
      <x:c r="G19" s="9" t="n">
        <x:f>IF(CAC=0,"indisponível: CAC zero",LTV/CAC)</x:f>
        <x:v>11.25</x:v>
      </x:c>
      <x:c r="H19" s="9" t="n">
        <x:f>IF(CAC=0,"indisponível: CAC zero",LTV/CAC)</x:f>
        <x:v>11.25</x:v>
      </x:c>
      <x:c r="I19" s="9" t="n">
        <x:f>IF(CAC=0,"indisponível: CAC zero",LTV/CAC)</x:f>
        <x:v>11.25</x:v>
      </x:c>
      <x:c r="J19" s="9" t="n">
        <x:f>IF(CAC=0,"indisponível: CAC zero",LTV/CAC)</x:f>
        <x:v>11.25</x:v>
      </x:c>
      <x:c r="K19" s="9" t="n">
        <x:f>IF(CAC=0,"indisponível: CAC zero",LTV/CAC)</x:f>
        <x:v>11.25</x:v>
      </x:c>
      <x:c r="L19" s="9" t="n">
        <x:f>IF(CAC=0,"indisponível: CAC zero",LTV/CAC)</x:f>
        <x:v>11.25</x:v>
      </x:c>
      <x:c r="M19" s="9" t="n">
        <x:f>IF(CAC=0,"indisponível: CAC zero",LTV/CAC)</x:f>
        <x:v>11.25</x:v>
      </x:c>
      <x:c r="N19" s="9" t="n">
        <x:f>IF(CAC=0,"indisponível: CAC zero",LTV/CAC)</x:f>
        <x:v>11.25</x:v>
      </x:c>
      <x:c r="O19" s="9" t="n">
        <x:f>IF(CAC=0,"indisponível: CAC zero",LTV/CAC)</x:f>
        <x:v>11.25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6" customWidth="1"/>
    <x:col min="3" max="3" width="30" customWidth="1"/>
    <x:col min="4" max="4" width="30" customWidth="1"/>
    <x:col min="5" max="5" width="14" customWidth="1"/>
    <x:col min="6" max="6" width="52" customWidth="1"/>
  </x:cols>
  <x:sheetData>
    <x:row r="1">
      <x:c r="A1" s="3" t="inlineStr">
        <x:is>
          <x:t xml:space="preserve">KPI</x:t>
        </x:is>
      </x:c>
      <x:c r="B1" s="3" t="inlineStr">
        <x:is>
          <x:t xml:space="preserve">Ano</x:t>
        </x:is>
      </x:c>
      <x:c r="C1" s="3" t="inlineStr">
        <x:is>
          <x:t xml:space="preserve">Valor da planilha (fórmula)</x:t>
        </x:is>
      </x:c>
      <x:c r="D1" s="3" t="inlineStr">
        <x:is>
          <x:t xml:space="preserve">Valor recalculado pelo script</x:t>
        </x:is>
      </x:c>
      <x:c r="E1" s="3" t="inlineStr">
        <x:is>
          <x:t xml:space="preserve">Diferença</x:t>
        </x:is>
      </x:c>
      <x:c r="F1" s="3" t="inlineStr">
        <x:is>
          <x:t xml:space="preserve">Situação</x:t>
        </x:is>
      </x:c>
    </x:row>
    <x:row r="2">
      <x:c r="A2" t="inlineStr">
        <x:is>
          <x:t xml:space="preserve">Receita</x:t>
        </x:is>
      </x:c>
      <x:c r="B2" t="n">
        <x:v>1</x:v>
      </x:c>
      <x:c r="C2" s="6" t="n">
        <x:f>KPIs!D2</x:f>
        <x:v>6679147681.084291</x:v>
      </x:c>
      <x:c r="D2" s="6" t="n">
        <x:v>6679147681.084291</x:v>
      </x:c>
      <x:c r="E2" t="n">
        <x:f>IF(AND(ISNUMBER(C2),ISNUMBER(D2)),ABS(C2-D2),"")</x:f>
        <x:v>0</x:v>
      </x:c>
      <x:c r="F2" t="str">
        <x:f>IF(AND(ISNUMBER(C2),ISNUMBER(D2)),IF(E2&lt;=TOL*MAX(1,ABS(D2)),"OK","DIVERGENTE"),IF(C2=D2,"OK (não calculado: "&amp;C2&amp;")","DIVERGENTE"))</x:f>
        <x:v>OK</x:v>
      </x:c>
    </x:row>
    <x:row r="3">
      <x:c r="A3" t="inlineStr">
        <x:is>
          <x:t xml:space="preserve">Receita</x:t>
        </x:is>
      </x:c>
      <x:c r="B3" t="n">
        <x:v>2</x:v>
      </x:c>
      <x:c r="C3" s="6" t="n">
        <x:f>KPIs!E2</x:f>
        <x:v>6089660867.641368</x:v>
      </x:c>
      <x:c r="D3" s="6" t="n">
        <x:v>6089660867.641368</x:v>
      </x:c>
      <x:c r="E3" t="n">
        <x:f>IF(AND(ISNUMBER(C3),ISNUMBER(D3)),ABS(C3-D3),"")</x:f>
        <x:v>0</x:v>
      </x:c>
      <x:c r="F3" t="str">
        <x:f>IF(AND(ISNUMBER(C3),ISNUMBER(D3)),IF(E3&lt;=TOL*MAX(1,ABS(D3)),"OK","DIVERGENTE"),IF(C3=D3,"OK (não calculado: "&amp;C3&amp;")","DIVERGENTE"))</x:f>
        <x:v>OK</x:v>
      </x:c>
    </x:row>
    <x:row r="4">
      <x:c r="A4" t="inlineStr">
        <x:is>
          <x:t xml:space="preserve">Receita</x:t>
        </x:is>
      </x:c>
      <x:c r="B4" t="n">
        <x:v>3</x:v>
      </x:c>
      <x:c r="C4" s="6" t="n">
        <x:f>KPIs!F2</x:f>
        <x:v>6254777867.299087</x:v>
      </x:c>
      <x:c r="D4" s="6" t="n">
        <x:v>6254777867.299087</x:v>
      </x:c>
      <x:c r="E4" t="n">
        <x:f>IF(AND(ISNUMBER(C4),ISNUMBER(D4)),ABS(C4-D4),"")</x:f>
        <x:v>0</x:v>
      </x:c>
      <x:c r="F4" t="str">
        <x:f>IF(AND(ISNUMBER(C4),ISNUMBER(D4)),IF(E4&lt;=TOL*MAX(1,ABS(D4)),"OK","DIVERGENTE"),IF(C4=D4,"OK (não calculado: "&amp;C4&amp;")","DIVERGENTE"))</x:f>
        <x:v>OK</x:v>
      </x:c>
    </x:row>
    <x:row r="5">
      <x:c r="A5" t="inlineStr">
        <x:is>
          <x:t xml:space="preserve">Receita</x:t>
        </x:is>
      </x:c>
      <x:c r="B5" t="n">
        <x:v>4</x:v>
      </x:c>
      <x:c r="C5" s="6" t="n">
        <x:f>KPIs!G2</x:f>
        <x:v>6514277999.978742</x:v>
      </x:c>
      <x:c r="D5" s="6" t="n">
        <x:v>6514277999.978742</x:v>
      </x:c>
      <x:c r="E5" t="n">
        <x:f>IF(AND(ISNUMBER(C5),ISNUMBER(D5)),ABS(C5-D5),"")</x:f>
        <x:v>0</x:v>
      </x:c>
      <x:c r="F5" t="str">
        <x:f>IF(AND(ISNUMBER(C5),ISNUMBER(D5)),IF(E5&lt;=TOL*MAX(1,ABS(D5)),"OK","DIVERGENTE"),IF(C5=D5,"OK (não calculado: "&amp;C5&amp;")","DIVERGENTE"))</x:f>
        <x:v>OK</x:v>
      </x:c>
    </x:row>
    <x:row r="6">
      <x:c r="A6" t="inlineStr">
        <x:is>
          <x:t xml:space="preserve">Receita</x:t>
        </x:is>
      </x:c>
      <x:c r="B6" t="n">
        <x:v>5</x:v>
      </x:c>
      <x:c r="C6" s="6" t="n">
        <x:f>KPIs!H2</x:f>
        <x:v>6845595020.317544</x:v>
      </x:c>
      <x:c r="D6" s="6" t="n">
        <x:v>6845595020.317544</x:v>
      </x:c>
      <x:c r="E6" t="n">
        <x:f>IF(AND(ISNUMBER(C6),ISNUMBER(D6)),ABS(C6-D6),"")</x:f>
        <x:v>0</x:v>
      </x:c>
      <x:c r="F6" t="str">
        <x:f>IF(AND(ISNUMBER(C6),ISNUMBER(D6)),IF(E6&lt;=TOL*MAX(1,ABS(D6)),"OK","DIVERGENTE"),IF(C6=D6,"OK (não calculado: "&amp;C6&amp;")","DIVERGENTE"))</x:f>
        <x:v>OK</x:v>
      </x:c>
    </x:row>
    <x:row r="7">
      <x:c r="A7" t="inlineStr">
        <x:is>
          <x:t xml:space="preserve">Receita</x:t>
        </x:is>
      </x:c>
      <x:c r="B7" t="n">
        <x:v>6</x:v>
      </x:c>
      <x:c r="C7" s="6" t="n">
        <x:f>KPIs!I2</x:f>
        <x:v>7248545941.511563</x:v>
      </x:c>
      <x:c r="D7" s="6" t="n">
        <x:v>7248545941.511563</x:v>
      </x:c>
      <x:c r="E7" t="n">
        <x:f>IF(AND(ISNUMBER(C7),ISNUMBER(D7)),ABS(C7-D7),"")</x:f>
        <x:v>0</x:v>
      </x:c>
      <x:c r="F7" t="str">
        <x:f>IF(AND(ISNUMBER(C7),ISNUMBER(D7)),IF(E7&lt;=TOL*MAX(1,ABS(D7)),"OK","DIVERGENTE"),IF(C7=D7,"OK (não calculado: "&amp;C7&amp;")","DIVERGENTE"))</x:f>
        <x:v>OK</x:v>
      </x:c>
    </x:row>
    <x:row r="8">
      <x:c r="A8" t="inlineStr">
        <x:is>
          <x:t xml:space="preserve">Receita</x:t>
        </x:is>
      </x:c>
      <x:c r="B8" t="n">
        <x:v>7</x:v>
      </x:c>
      <x:c r="C8" s="6" t="n">
        <x:f>KPIs!J2</x:f>
        <x:v>7673514335.311551</x:v>
      </x:c>
      <x:c r="D8" s="6" t="n">
        <x:v>7673514335.311551</x:v>
      </x:c>
      <x:c r="E8" t="n">
        <x:f>IF(AND(ISNUMBER(C8),ISNUMBER(D8)),ABS(C8-D8),"")</x:f>
        <x:v>0</x:v>
      </x:c>
      <x:c r="F8" t="str">
        <x:f>IF(AND(ISNUMBER(C8),ISNUMBER(D8)),IF(E8&lt;=TOL*MAX(1,ABS(D8)),"OK","DIVERGENTE"),IF(C8=D8,"OK (não calculado: "&amp;C8&amp;")","DIVERGENTE"))</x:f>
        <x:v>OK</x:v>
      </x:c>
    </x:row>
    <x:row r="9">
      <x:c r="A9" t="inlineStr">
        <x:is>
          <x:t xml:space="preserve">Receita</x:t>
        </x:is>
      </x:c>
      <x:c r="B9" t="n">
        <x:v>8</x:v>
      </x:c>
      <x:c r="C9" s="6" t="n">
        <x:f>KPIs!K2</x:f>
        <x:v>8165980166.136797</x:v>
      </x:c>
      <x:c r="D9" s="6" t="n">
        <x:v>8165980166.136797</x:v>
      </x:c>
      <x:c r="E9" t="n">
        <x:f>IF(AND(ISNUMBER(C9),ISNUMBER(D9)),ABS(C9-D9),"")</x:f>
        <x:v>0</x:v>
      </x:c>
      <x:c r="F9" t="str">
        <x:f>IF(AND(ISNUMBER(C9),ISNUMBER(D9)),IF(E9&lt;=TOL*MAX(1,ABS(D9)),"OK","DIVERGENTE"),IF(C9=D9,"OK (não calculado: "&amp;C9&amp;")","DIVERGENTE"))</x:f>
        <x:v>OK</x:v>
      </x:c>
    </x:row>
    <x:row r="10">
      <x:c r="A10" t="inlineStr">
        <x:is>
          <x:t xml:space="preserve">Receita</x:t>
        </x:is>
      </x:c>
      <x:c r="B10" t="n">
        <x:v>9</x:v>
      </x:c>
      <x:c r="C10" s="6" t="n">
        <x:f>KPIs!L2</x:f>
        <x:v>8633368484.299423</x:v>
      </x:c>
      <x:c r="D10" s="6" t="n">
        <x:v>8633368484.299423</x:v>
      </x:c>
      <x:c r="E10" t="n">
        <x:f>IF(AND(ISNUMBER(C10),ISNUMBER(D10)),ABS(C10-D10),"")</x:f>
        <x:v>0</x:v>
      </x:c>
      <x:c r="F10" t="str">
        <x:f>IF(AND(ISNUMBER(C10),ISNUMBER(D10)),IF(E10&lt;=TOL*MAX(1,ABS(D10)),"OK","DIVERGENTE"),IF(C10=D10,"OK (não calculado: "&amp;C10&amp;")","DIVERGENTE"))</x:f>
        <x:v>OK</x:v>
      </x:c>
    </x:row>
    <x:row r="11">
      <x:c r="A11" t="inlineStr">
        <x:is>
          <x:t xml:space="preserve">Receita</x:t>
        </x:is>
      </x:c>
      <x:c r="B11" t="n">
        <x:v>10</x:v>
      </x:c>
      <x:c r="C11" s="6" t="n">
        <x:f>KPIs!M2</x:f>
        <x:v>9170848606.471706</x:v>
      </x:c>
      <x:c r="D11" s="6" t="n">
        <x:v>9170848606.471706</x:v>
      </x:c>
      <x:c r="E11" t="n">
        <x:f>IF(AND(ISNUMBER(C11),ISNUMBER(D11)),ABS(C11-D11),"")</x:f>
        <x:v>0</x:v>
      </x:c>
      <x:c r="F11" t="str">
        <x:f>IF(AND(ISNUMBER(C11),ISNUMBER(D11)),IF(E11&lt;=TOL*MAX(1,ABS(D11)),"OK","DIVERGENTE"),IF(C11=D11,"OK (não calculado: "&amp;C11&amp;")","DIVERGENTE"))</x:f>
        <x:v>OK</x:v>
      </x:c>
    </x:row>
    <x:row r="12">
      <x:c r="A12" t="inlineStr">
        <x:is>
          <x:t xml:space="preserve">Receita</x:t>
        </x:is>
      </x:c>
      <x:c r="B12" t="n">
        <x:v>11</x:v>
      </x:c>
      <x:c r="C12" s="6" t="n">
        <x:f>KPIs!N2</x:f>
        <x:v>9722984664.768333</x:v>
      </x:c>
      <x:c r="D12" s="6" t="n">
        <x:v>9722984664.768333</x:v>
      </x:c>
      <x:c r="E12" t="n">
        <x:f>IF(AND(ISNUMBER(C12),ISNUMBER(D12)),ABS(C12-D12),"")</x:f>
        <x:v>0</x:v>
      </x:c>
      <x:c r="F12" t="str">
        <x:f>IF(AND(ISNUMBER(C12),ISNUMBER(D12)),IF(E12&lt;=TOL*MAX(1,ABS(D12)),"OK","DIVERGENTE"),IF(C12=D12,"OK (não calculado: "&amp;C12&amp;")","DIVERGENTE"))</x:f>
        <x:v>OK</x:v>
      </x:c>
    </x:row>
    <x:row r="13">
      <x:c r="A13" t="inlineStr">
        <x:is>
          <x:t xml:space="preserve">Receita</x:t>
        </x:is>
      </x:c>
      <x:c r="B13" t="n">
        <x:v>12</x:v>
      </x:c>
      <x:c r="C13" s="6" t="n">
        <x:f>KPIs!O2</x:f>
        <x:v>11962389878.15527</x:v>
      </x:c>
      <x:c r="D13" s="6" t="n">
        <x:v>11962389878.15527</x:v>
      </x:c>
      <x:c r="E13" t="n">
        <x:f>IF(AND(ISNUMBER(C13),ISNUMBER(D13)),ABS(C13-D13),"")</x:f>
        <x:v>0</x:v>
      </x:c>
      <x:c r="F13" t="str">
        <x:f>IF(AND(ISNUMBER(C13),ISNUMBER(D13)),IF(E13&lt;=TOL*MAX(1,ABS(D13)),"OK","DIVERGENTE"),IF(C13=D13,"OK (não calculado: "&amp;C13&amp;")","DIVERGENTE"))</x:f>
        <x:v>OK</x:v>
      </x:c>
    </x:row>
    <x:row r="14">
      <x:c r="A14" t="inlineStr">
        <x:is>
          <x:t xml:space="preserve">Custos variáveis (premissa)</x:t>
        </x:is>
      </x:c>
      <x:c r="B14" t="n">
        <x:v>1</x:v>
      </x:c>
      <x:c r="C14" s="6" t="n">
        <x:f>KPIs!D3</x:f>
        <x:v>1355723912.467544</x:v>
      </x:c>
      <x:c r="D14" s="6" t="n">
        <x:v>1355723912.467544</x:v>
      </x:c>
      <x:c r="E14" t="n">
        <x:f>IF(AND(ISNUMBER(C14),ISNUMBER(D14)),ABS(C14-D14),"")</x:f>
        <x:v>0</x:v>
      </x:c>
      <x:c r="F14" t="str">
        <x:f>IF(AND(ISNUMBER(C14),ISNUMBER(D14)),IF(E14&lt;=TOL*MAX(1,ABS(D14)),"OK","DIVERGENTE"),IF(C14=D14,"OK (não calculado: "&amp;C14&amp;")","DIVERGENTE"))</x:f>
        <x:v>OK</x:v>
      </x:c>
    </x:row>
    <x:row r="15">
      <x:c r="A15" t="inlineStr">
        <x:is>
          <x:t xml:space="preserve">Custos variáveis (premissa)</x:t>
        </x:is>
      </x:c>
      <x:c r="B15" t="n">
        <x:v>2</x:v>
      </x:c>
      <x:c r="C15" s="6" t="n">
        <x:f>KPIs!E3</x:f>
        <x:v>1322760394.210125</x:v>
      </x:c>
      <x:c r="D15" s="6" t="n">
        <x:v>1322760394.210125</x:v>
      </x:c>
      <x:c r="E15" t="n">
        <x:f>IF(AND(ISNUMBER(C15),ISNUMBER(D15)),ABS(C15-D15),"")</x:f>
        <x:v>0</x:v>
      </x:c>
      <x:c r="F15" t="str">
        <x:f>IF(AND(ISNUMBER(C15),ISNUMBER(D15)),IF(E15&lt;=TOL*MAX(1,ABS(D15)),"OK","DIVERGENTE"),IF(C15=D15,"OK (não calculado: "&amp;C15&amp;")","DIVERGENTE"))</x:f>
        <x:v>OK</x:v>
      </x:c>
    </x:row>
    <x:row r="16">
      <x:c r="A16" t="inlineStr">
        <x:is>
          <x:t xml:space="preserve">Custos variáveis (premissa)</x:t>
        </x:is>
      </x:c>
      <x:c r="B16" t="n">
        <x:v>3</x:v>
      </x:c>
      <x:c r="C16" s="6" t="n">
        <x:f>KPIs!F3</x:f>
        <x:v>1218197034.735044</x:v>
      </x:c>
      <x:c r="D16" s="6" t="n">
        <x:v>1218197034.735044</x:v>
      </x:c>
      <x:c r="E16" t="n">
        <x:f>IF(AND(ISNUMBER(C16),ISNUMBER(D16)),ABS(C16-D16),"")</x:f>
        <x:v>0</x:v>
      </x:c>
      <x:c r="F16" t="str">
        <x:f>IF(AND(ISNUMBER(C16),ISNUMBER(D16)),IF(E16&lt;=TOL*MAX(1,ABS(D16)),"OK","DIVERGENTE"),IF(C16=D16,"OK (não calculado: "&amp;C16&amp;")","DIVERGENTE"))</x:f>
        <x:v>OK</x:v>
      </x:c>
    </x:row>
    <x:row r="17">
      <x:c r="A17" t="inlineStr">
        <x:is>
          <x:t xml:space="preserve">Custos variáveis (premissa)</x:t>
        </x:is>
      </x:c>
      <x:c r="B17" t="n">
        <x:v>4</x:v>
      </x:c>
      <x:c r="C17" s="6" t="n">
        <x:f>KPIs!G3</x:f>
        <x:v>1215139403.674767</x:v>
      </x:c>
      <x:c r="D17" s="6" t="n">
        <x:v>1215139403.674767</x:v>
      </x:c>
      <x:c r="E17" t="n">
        <x:f>IF(AND(ISNUMBER(C17),ISNUMBER(D17)),ABS(C17-D17),"")</x:f>
        <x:v>0</x:v>
      </x:c>
      <x:c r="F17" t="str">
        <x:f>IF(AND(ISNUMBER(C17),ISNUMBER(D17)),IF(E17&lt;=TOL*MAX(1,ABS(D17)),"OK","DIVERGENTE"),IF(C17=D17,"OK (não calculado: "&amp;C17&amp;")","DIVERGENTE"))</x:f>
        <x:v>OK</x:v>
      </x:c>
    </x:row>
    <x:row r="18">
      <x:c r="A18" t="inlineStr">
        <x:is>
          <x:t xml:space="preserve">Custos variáveis (premissa)</x:t>
        </x:is>
      </x:c>
      <x:c r="B18" t="n">
        <x:v>5</x:v>
      </x:c>
      <x:c r="C18" s="6" t="n">
        <x:f>KPIs!H3</x:f>
        <x:v>1103509975.129567</x:v>
      </x:c>
      <x:c r="D18" s="6" t="n">
        <x:v>1103509975.129567</x:v>
      </x:c>
      <x:c r="E18" t="n">
        <x:f>IF(AND(ISNUMBER(C18),ISNUMBER(D18)),ABS(C18-D18),"")</x:f>
        <x:v>0</x:v>
      </x:c>
      <x:c r="F18" t="str">
        <x:f>IF(AND(ISNUMBER(C18),ISNUMBER(D18)),IF(E18&lt;=TOL*MAX(1,ABS(D18)),"OK","DIVERGENTE"),IF(C18=D18,"OK (não calculado: "&amp;C18&amp;")","DIVERGENTE"))</x:f>
        <x:v>OK</x:v>
      </x:c>
    </x:row>
    <x:row r="19">
      <x:c r="A19" t="inlineStr">
        <x:is>
          <x:t xml:space="preserve">Custos variáveis (premissa)</x:t>
        </x:is>
      </x:c>
      <x:c r="B19" t="n">
        <x:v>6</x:v>
      </x:c>
      <x:c r="C19" s="6" t="n">
        <x:f>KPIs!I3</x:f>
        <x:v>1110507455.341414</x:v>
      </x:c>
      <x:c r="D19" s="6" t="n">
        <x:v>1110507455.341414</x:v>
      </x:c>
      <x:c r="E19" t="n">
        <x:f>IF(AND(ISNUMBER(C19),ISNUMBER(D19)),ABS(C19-D19),"")</x:f>
        <x:v>0</x:v>
      </x:c>
      <x:c r="F19" t="str">
        <x:f>IF(AND(ISNUMBER(C19),ISNUMBER(D19)),IF(E19&lt;=TOL*MAX(1,ABS(D19)),"OK","DIVERGENTE"),IF(C19=D19,"OK (não calculado: "&amp;C19&amp;")","DIVERGENTE"))</x:f>
        <x:v>OK</x:v>
      </x:c>
    </x:row>
    <x:row r="20">
      <x:c r="A20" t="inlineStr">
        <x:is>
          <x:t xml:space="preserve">Custos variáveis (premissa)</x:t>
        </x:is>
      </x:c>
      <x:c r="B20" t="n">
        <x:v>7</x:v>
      </x:c>
      <x:c r="C20" s="6" t="n">
        <x:f>KPIs!J3</x:f>
        <x:v>1228358429.369328</x:v>
      </x:c>
      <x:c r="D20" s="6" t="n">
        <x:v>1228358429.369328</x:v>
      </x:c>
      <x:c r="E20" t="n">
        <x:f>IF(AND(ISNUMBER(C20),ISNUMBER(D20)),ABS(C20-D20),"")</x:f>
        <x:v>0</x:v>
      </x:c>
      <x:c r="F20" t="str">
        <x:f>IF(AND(ISNUMBER(C20),ISNUMBER(D20)),IF(E20&lt;=TOL*MAX(1,ABS(D20)),"OK","DIVERGENTE"),IF(C20=D20,"OK (não calculado: "&amp;C20&amp;")","DIVERGENTE"))</x:f>
        <x:v>OK</x:v>
      </x:c>
    </x:row>
    <x:row r="21">
      <x:c r="A21" t="inlineStr">
        <x:is>
          <x:t xml:space="preserve">Custos variáveis (premissa)</x:t>
        </x:is>
      </x:c>
      <x:c r="B21" t="n">
        <x:v>8</x:v>
      </x:c>
      <x:c r="C21" s="6" t="n">
        <x:f>KPIs!K3</x:f>
        <x:v>1292069298.95348</x:v>
      </x:c>
      <x:c r="D21" s="6" t="n">
        <x:v>1292069298.95348</x:v>
      </x:c>
      <x:c r="E21" t="n">
        <x:f>IF(AND(ISNUMBER(C21),ISNUMBER(D21)),ABS(C21-D21),"")</x:f>
        <x:v>0</x:v>
      </x:c>
      <x:c r="F21" t="str">
        <x:f>IF(AND(ISNUMBER(C21),ISNUMBER(D21)),IF(E21&lt;=TOL*MAX(1,ABS(D21)),"OK","DIVERGENTE"),IF(C21=D21,"OK (não calculado: "&amp;C21&amp;")","DIVERGENTE"))</x:f>
        <x:v>OK</x:v>
      </x:c>
    </x:row>
    <x:row r="22">
      <x:c r="A22" t="inlineStr">
        <x:is>
          <x:t xml:space="preserve">Custos variáveis (premissa)</x:t>
        </x:is>
      </x:c>
      <x:c r="B22" t="n">
        <x:v>9</x:v>
      </x:c>
      <x:c r="C22" s="6" t="n">
        <x:f>KPIs!L3</x:f>
        <x:v>1352942388.679258</x:v>
      </x:c>
      <x:c r="D22" s="6" t="n">
        <x:v>1352942388.679258</x:v>
      </x:c>
      <x:c r="E22" t="n">
        <x:f>IF(AND(ISNUMBER(C22),ISNUMBER(D22)),ABS(C22-D22),"")</x:f>
        <x:v>0</x:v>
      </x:c>
      <x:c r="F22" t="str">
        <x:f>IF(AND(ISNUMBER(C22),ISNUMBER(D22)),IF(E22&lt;=TOL*MAX(1,ABS(D22)),"OK","DIVERGENTE"),IF(C22=D22,"OK (não calculado: "&amp;C22&amp;")","DIVERGENTE"))</x:f>
        <x:v>OK</x:v>
      </x:c>
    </x:row>
    <x:row r="23">
      <x:c r="A23" t="inlineStr">
        <x:is>
          <x:t xml:space="preserve">Custos variáveis (premissa)</x:t>
        </x:is>
      </x:c>
      <x:c r="B23" t="n">
        <x:v>10</x:v>
      </x:c>
      <x:c r="C23" s="6" t="n">
        <x:f>KPIs!M3</x:f>
        <x:v>1220855458.861982</x:v>
      </x:c>
      <x:c r="D23" s="6" t="n">
        <x:v>1220855458.861982</x:v>
      </x:c>
      <x:c r="E23" t="n">
        <x:f>IF(AND(ISNUMBER(C23),ISNUMBER(D23)),ABS(C23-D23),"")</x:f>
        <x:v>0</x:v>
      </x:c>
      <x:c r="F23" t="str">
        <x:f>IF(AND(ISNUMBER(C23),ISNUMBER(D23)),IF(E23&lt;=TOL*MAX(1,ABS(D23)),"OK","DIVERGENTE"),IF(C23=D23,"OK (não calculado: "&amp;C23&amp;")","DIVERGENTE"))</x:f>
        <x:v>OK</x:v>
      </x:c>
    </x:row>
    <x:row r="24">
      <x:c r="A24" t="inlineStr">
        <x:is>
          <x:t xml:space="preserve">Custos variáveis (premissa)</x:t>
        </x:is>
      </x:c>
      <x:c r="B24" t="n">
        <x:v>11</x:v>
      </x:c>
      <x:c r="C24" s="6" t="n">
        <x:f>KPIs!N3</x:f>
        <x:v>1004148253.318861</x:v>
      </x:c>
      <x:c r="D24" s="6" t="n">
        <x:v>1004148253.318861</x:v>
      </x:c>
      <x:c r="E24" t="n">
        <x:f>IF(AND(ISNUMBER(C24),ISNUMBER(D24)),ABS(C24-D24),"")</x:f>
        <x:v>0</x:v>
      </x:c>
      <x:c r="F24" t="str">
        <x:f>IF(AND(ISNUMBER(C24),ISNUMBER(D24)),IF(E24&lt;=TOL*MAX(1,ABS(D24)),"OK","DIVERGENTE"),IF(C24=D24,"OK (não calculado: "&amp;C24&amp;")","DIVERGENTE"))</x:f>
        <x:v>OK</x:v>
      </x:c>
    </x:row>
    <x:row r="25">
      <x:c r="A25" t="inlineStr">
        <x:is>
          <x:t xml:space="preserve">Custos variáveis (premissa)</x:t>
        </x:is>
      </x:c>
      <x:c r="B25" t="n">
        <x:v>12</x:v>
      </x:c>
      <x:c r="C25" s="6" t="n">
        <x:f>KPIs!O3</x:f>
        <x:v>1040666475.338333</x:v>
      </x:c>
      <x:c r="D25" s="6" t="n">
        <x:v>1040666475.338333</x:v>
      </x:c>
      <x:c r="E25" t="n">
        <x:f>IF(AND(ISNUMBER(C25),ISNUMBER(D25)),ABS(C25-D25),"")</x:f>
        <x:v>0</x:v>
      </x:c>
      <x:c r="F25" t="str">
        <x:f>IF(AND(ISNUMBER(C25),ISNUMBER(D25)),IF(E25&lt;=TOL*MAX(1,ABS(D25)),"OK","DIVERGENTE"),IF(C25=D25,"OK (não calculado: "&amp;C25&amp;")","DIVERGENTE"))</x:f>
        <x:v>OK</x:v>
      </x:c>
    </x:row>
    <x:row r="26">
      <x:c r="A26" t="inlineStr">
        <x:is>
          <x:t xml:space="preserve">Margem de contribuição</x:t>
        </x:is>
      </x:c>
      <x:c r="B26" t="n">
        <x:v>1</x:v>
      </x:c>
      <x:c r="C26" s="6" t="n">
        <x:f>KPIs!D4</x:f>
        <x:v>5323423768.616747</x:v>
      </x:c>
      <x:c r="D26" s="6" t="n">
        <x:v>5323423768.616747</x:v>
      </x:c>
      <x:c r="E26" t="n">
        <x:f>IF(AND(ISNUMBER(C26),ISNUMBER(D26)),ABS(C26-D26),"")</x:f>
        <x:v>0</x:v>
      </x:c>
      <x:c r="F26" t="str">
        <x:f>IF(AND(ISNUMBER(C26),ISNUMBER(D26)),IF(E26&lt;=TOL*MAX(1,ABS(D26)),"OK","DIVERGENTE"),IF(C26=D26,"OK (não calculado: "&amp;C26&amp;")","DIVERGENTE"))</x:f>
        <x:v>OK</x:v>
      </x:c>
    </x:row>
    <x:row r="27">
      <x:c r="A27" t="inlineStr">
        <x:is>
          <x:t xml:space="preserve">Margem de contribuição</x:t>
        </x:is>
      </x:c>
      <x:c r="B27" t="n">
        <x:v>2</x:v>
      </x:c>
      <x:c r="C27" s="6" t="n">
        <x:f>KPIs!E4</x:f>
        <x:v>4766900473.431243</x:v>
      </x:c>
      <x:c r="D27" s="6" t="n">
        <x:v>4766900473.431243</x:v>
      </x:c>
      <x:c r="E27" t="n">
        <x:f>IF(AND(ISNUMBER(C27),ISNUMBER(D27)),ABS(C27-D27),"")</x:f>
        <x:v>0</x:v>
      </x:c>
      <x:c r="F27" t="str">
        <x:f>IF(AND(ISNUMBER(C27),ISNUMBER(D27)),IF(E27&lt;=TOL*MAX(1,ABS(D27)),"OK","DIVERGENTE"),IF(C27=D27,"OK (não calculado: "&amp;C27&amp;")","DIVERGENTE"))</x:f>
        <x:v>OK</x:v>
      </x:c>
    </x:row>
    <x:row r="28">
      <x:c r="A28" t="inlineStr">
        <x:is>
          <x:t xml:space="preserve">Margem de contribuição</x:t>
        </x:is>
      </x:c>
      <x:c r="B28" t="n">
        <x:v>3</x:v>
      </x:c>
      <x:c r="C28" s="6" t="n">
        <x:f>KPIs!F4</x:f>
        <x:v>5036580832.564043</x:v>
      </x:c>
      <x:c r="D28" s="6" t="n">
        <x:v>5036580832.564042</x:v>
      </x:c>
      <x:c r="E28" t="n">
        <x:f>IF(AND(ISNUMBER(C28),ISNUMBER(D28)),ABS(C28-D28),"")</x:f>
        <x:v>9.5367431640625e-7</x:v>
      </x:c>
      <x:c r="F28" t="str">
        <x:f>IF(AND(ISNUMBER(C28),ISNUMBER(D28)),IF(E28&lt;=TOL*MAX(1,ABS(D28)),"OK","DIVERGENTE"),IF(C28=D28,"OK (não calculado: "&amp;C28&amp;")","DIVERGENTE"))</x:f>
        <x:v>OK</x:v>
      </x:c>
    </x:row>
    <x:row r="29">
      <x:c r="A29" t="inlineStr">
        <x:is>
          <x:t xml:space="preserve">Margem de contribuição</x:t>
        </x:is>
      </x:c>
      <x:c r="B29" t="n">
        <x:v>4</x:v>
      </x:c>
      <x:c r="C29" s="6" t="n">
        <x:f>KPIs!G4</x:f>
        <x:v>5299138596.303974</x:v>
      </x:c>
      <x:c r="D29" s="6" t="n">
        <x:v>5299138596.303974</x:v>
      </x:c>
      <x:c r="E29" t="n">
        <x:f>IF(AND(ISNUMBER(C29),ISNUMBER(D29)),ABS(C29-D29),"")</x:f>
        <x:v>0</x:v>
      </x:c>
      <x:c r="F29" t="str">
        <x:f>IF(AND(ISNUMBER(C29),ISNUMBER(D29)),IF(E29&lt;=TOL*MAX(1,ABS(D29)),"OK","DIVERGENTE"),IF(C29=D29,"OK (não calculado: "&amp;C29&amp;")","DIVERGENTE"))</x:f>
        <x:v>OK</x:v>
      </x:c>
    </x:row>
    <x:row r="30">
      <x:c r="A30" t="inlineStr">
        <x:is>
          <x:t xml:space="preserve">Margem de contribuição</x:t>
        </x:is>
      </x:c>
      <x:c r="B30" t="n">
        <x:v>5</x:v>
      </x:c>
      <x:c r="C30" s="6" t="n">
        <x:f>KPIs!H4</x:f>
        <x:v>5742085045.187977</x:v>
      </x:c>
      <x:c r="D30" s="6" t="n">
        <x:v>5742085045.187977</x:v>
      </x:c>
      <x:c r="E30" t="n">
        <x:f>IF(AND(ISNUMBER(C30),ISNUMBER(D30)),ABS(C30-D30),"")</x:f>
        <x:v>0</x:v>
      </x:c>
      <x:c r="F30" t="str">
        <x:f>IF(AND(ISNUMBER(C30),ISNUMBER(D30)),IF(E30&lt;=TOL*MAX(1,ABS(D30)),"OK","DIVERGENTE"),IF(C30=D30,"OK (não calculado: "&amp;C30&amp;")","DIVERGENTE"))</x:f>
        <x:v>OK</x:v>
      </x:c>
    </x:row>
    <x:row r="31">
      <x:c r="A31" t="inlineStr">
        <x:is>
          <x:t xml:space="preserve">Margem de contribuição</x:t>
        </x:is>
      </x:c>
      <x:c r="B31" t="n">
        <x:v>6</x:v>
      </x:c>
      <x:c r="C31" s="6" t="n">
        <x:f>KPIs!I4</x:f>
        <x:v>6138038486.170149</x:v>
      </x:c>
      <x:c r="D31" s="6" t="n">
        <x:v>6138038486.170149</x:v>
      </x:c>
      <x:c r="E31" t="n">
        <x:f>IF(AND(ISNUMBER(C31),ISNUMBER(D31)),ABS(C31-D31),"")</x:f>
        <x:v>0</x:v>
      </x:c>
      <x:c r="F31" t="str">
        <x:f>IF(AND(ISNUMBER(C31),ISNUMBER(D31)),IF(E31&lt;=TOL*MAX(1,ABS(D31)),"OK","DIVERGENTE"),IF(C31=D31,"OK (não calculado: "&amp;C31&amp;")","DIVERGENTE"))</x:f>
        <x:v>OK</x:v>
      </x:c>
    </x:row>
    <x:row r="32">
      <x:c r="A32" t="inlineStr">
        <x:is>
          <x:t xml:space="preserve">Margem de contribuição</x:t>
        </x:is>
      </x:c>
      <x:c r="B32" t="n">
        <x:v>7</x:v>
      </x:c>
      <x:c r="C32" s="6" t="n">
        <x:f>KPIs!J4</x:f>
        <x:v>6445155905.942223</x:v>
      </x:c>
      <x:c r="D32" s="6" t="n">
        <x:v>6445155905.942223</x:v>
      </x:c>
      <x:c r="E32" t="n">
        <x:f>IF(AND(ISNUMBER(C32),ISNUMBER(D32)),ABS(C32-D32),"")</x:f>
        <x:v>0</x:v>
      </x:c>
      <x:c r="F32" t="str">
        <x:f>IF(AND(ISNUMBER(C32),ISNUMBER(D32)),IF(E32&lt;=TOL*MAX(1,ABS(D32)),"OK","DIVERGENTE"),IF(C32=D32,"OK (não calculado: "&amp;C32&amp;")","DIVERGENTE"))</x:f>
        <x:v>OK</x:v>
      </x:c>
    </x:row>
    <x:row r="33">
      <x:c r="A33" t="inlineStr">
        <x:is>
          <x:t xml:space="preserve">Margem de contribuição</x:t>
        </x:is>
      </x:c>
      <x:c r="B33" t="n">
        <x:v>8</x:v>
      </x:c>
      <x:c r="C33" s="6" t="n">
        <x:f>KPIs!K4</x:f>
        <x:v>6873910867.183317</x:v>
      </x:c>
      <x:c r="D33" s="6" t="n">
        <x:v>6873910867.183316</x:v>
      </x:c>
      <x:c r="E33" t="n">
        <x:f>IF(AND(ISNUMBER(C33),ISNUMBER(D33)),ABS(C33-D33),"")</x:f>
        <x:v>9.5367431640625e-7</x:v>
      </x:c>
      <x:c r="F33" t="str">
        <x:f>IF(AND(ISNUMBER(C33),ISNUMBER(D33)),IF(E33&lt;=TOL*MAX(1,ABS(D33)),"OK","DIVERGENTE"),IF(C33=D33,"OK (não calculado: "&amp;C33&amp;")","DIVERGENTE"))</x:f>
        <x:v>OK</x:v>
      </x:c>
    </x:row>
    <x:row r="34">
      <x:c r="A34" t="inlineStr">
        <x:is>
          <x:t xml:space="preserve">Margem de contribuição</x:t>
        </x:is>
      </x:c>
      <x:c r="B34" t="n">
        <x:v>9</x:v>
      </x:c>
      <x:c r="C34" s="6" t="n">
        <x:f>KPIs!L4</x:f>
        <x:v>7280426095.620165</x:v>
      </x:c>
      <x:c r="D34" s="6" t="n">
        <x:v>7280426095.620165</x:v>
      </x:c>
      <x:c r="E34" t="n">
        <x:f>IF(AND(ISNUMBER(C34),ISNUMBER(D34)),ABS(C34-D34),"")</x:f>
        <x:v>0</x:v>
      </x:c>
      <x:c r="F34" t="str">
        <x:f>IF(AND(ISNUMBER(C34),ISNUMBER(D34)),IF(E34&lt;=TOL*MAX(1,ABS(D34)),"OK","DIVERGENTE"),IF(C34=D34,"OK (não calculado: "&amp;C34&amp;")","DIVERGENTE"))</x:f>
        <x:v>OK</x:v>
      </x:c>
    </x:row>
    <x:row r="35">
      <x:c r="A35" t="inlineStr">
        <x:is>
          <x:t xml:space="preserve">Margem de contribuição</x:t>
        </x:is>
      </x:c>
      <x:c r="B35" t="n">
        <x:v>10</x:v>
      </x:c>
      <x:c r="C35" s="6" t="n">
        <x:f>KPIs!M4</x:f>
        <x:v>7949993147.609724</x:v>
      </x:c>
      <x:c r="D35" s="6" t="n">
        <x:v>7949993147.609724</x:v>
      </x:c>
      <x:c r="E35" t="n">
        <x:f>IF(AND(ISNUMBER(C35),ISNUMBER(D35)),ABS(C35-D35),"")</x:f>
        <x:v>0</x:v>
      </x:c>
      <x:c r="F35" t="str">
        <x:f>IF(AND(ISNUMBER(C35),ISNUMBER(D35)),IF(E35&lt;=TOL*MAX(1,ABS(D35)),"OK","DIVERGENTE"),IF(C35=D35,"OK (não calculado: "&amp;C35&amp;")","DIVERGENTE"))</x:f>
        <x:v>OK</x:v>
      </x:c>
    </x:row>
    <x:row r="36">
      <x:c r="A36" t="inlineStr">
        <x:is>
          <x:t xml:space="preserve">Margem de contribuição</x:t>
        </x:is>
      </x:c>
      <x:c r="B36" t="n">
        <x:v>11</x:v>
      </x:c>
      <x:c r="C36" s="6" t="n">
        <x:f>KPIs!N4</x:f>
        <x:v>8718836411.449472</x:v>
      </x:c>
      <x:c r="D36" s="6" t="n">
        <x:v>8718836411.449472</x:v>
      </x:c>
      <x:c r="E36" t="n">
        <x:f>IF(AND(ISNUMBER(C36),ISNUMBER(D36)),ABS(C36-D36),"")</x:f>
        <x:v>0</x:v>
      </x:c>
      <x:c r="F36" t="str">
        <x:f>IF(AND(ISNUMBER(C36),ISNUMBER(D36)),IF(E36&lt;=TOL*MAX(1,ABS(D36)),"OK","DIVERGENTE"),IF(C36=D36,"OK (não calculado: "&amp;C36&amp;")","DIVERGENTE"))</x:f>
        <x:v>OK</x:v>
      </x:c>
    </x:row>
    <x:row r="37">
      <x:c r="A37" t="inlineStr">
        <x:is>
          <x:t xml:space="preserve">Margem de contribuição</x:t>
        </x:is>
      </x:c>
      <x:c r="B37" t="n">
        <x:v>12</x:v>
      </x:c>
      <x:c r="C37" s="6" t="n">
        <x:f>KPIs!O4</x:f>
        <x:v>10921723402.816936</x:v>
      </x:c>
      <x:c r="D37" s="6" t="n">
        <x:v>10921723402.81693</x:v>
      </x:c>
      <x:c r="E37" t="n">
        <x:f>IF(AND(ISNUMBER(C37),ISNUMBER(D37)),ABS(C37-D37),"")</x:f>
        <x:v>0.0000057220458984375</x:v>
      </x:c>
      <x:c r="F37" t="str">
        <x:f>IF(AND(ISNUMBER(C37),ISNUMBER(D37)),IF(E37&lt;=TOL*MAX(1,ABS(D37)),"OK","DIVERGENTE"),IF(C37=D37,"OK (não calculado: "&amp;C37&amp;")","DIVERGENTE"))</x:f>
        <x:v>OK</x:v>
      </x:c>
    </x:row>
    <x:row r="38">
      <x:c r="A38" t="inlineStr">
        <x:is>
          <x:t xml:space="preserve">Margem de contribuição (%)</x:t>
        </x:is>
      </x:c>
      <x:c r="B38" t="n">
        <x:v>1</x:v>
      </x:c>
      <x:c r="C38" s="7" t="n">
        <x:f>KPIs!D5</x:f>
        <x:v>0.79702141991754</x:v>
      </x:c>
      <x:c r="D38" s="7" t="n">
        <x:v>0.7970214199175401</x:v>
      </x:c>
      <x:c r="E38" t="n">
        <x:f>IF(AND(ISNUMBER(C38),ISNUMBER(D38)),ABS(C38-D38),"")</x:f>
        <x:v>0</x:v>
      </x:c>
      <x:c r="F38" t="str">
        <x:f>IF(AND(ISNUMBER(C38),ISNUMBER(D38)),IF(E38&lt;=TOL*MAX(1,ABS(D38)),"OK","DIVERGENTE"),IF(C38=D38,"OK (não calculado: "&amp;C38&amp;")","DIVERGENTE"))</x:f>
        <x:v>OK</x:v>
      </x:c>
    </x:row>
    <x:row r="39">
      <x:c r="A39" t="inlineStr">
        <x:is>
          <x:t xml:space="preserve">Margem de contribuição (%)</x:t>
        </x:is>
      </x:c>
      <x:c r="B39" t="n">
        <x:v>2</x:v>
      </x:c>
      <x:c r="C39" s="7" t="n">
        <x:f>KPIs!E5</x:f>
        <x:v>0.7827858688750835</x:v>
      </x:c>
      <x:c r="D39" s="7" t="n">
        <x:v>0.7827858688750835</x:v>
      </x:c>
      <x:c r="E39" t="n">
        <x:f>IF(AND(ISNUMBER(C39),ISNUMBER(D39)),ABS(C39-D39),"")</x:f>
        <x:v>0</x:v>
      </x:c>
      <x:c r="F39" t="str">
        <x:f>IF(AND(ISNUMBER(C39),ISNUMBER(D39)),IF(E39&lt;=TOL*MAX(1,ABS(D39)),"OK","DIVERGENTE"),IF(C39=D39,"OK (não calculado: "&amp;C39&amp;")","DIVERGENTE"))</x:f>
        <x:v>OK</x:v>
      </x:c>
    </x:row>
    <x:row r="40">
      <x:c r="A40" t="inlineStr">
        <x:is>
          <x:t xml:space="preserve">Margem de contribuição (%)</x:t>
        </x:is>
      </x:c>
      <x:c r="B40" t="n">
        <x:v>3</x:v>
      </x:c>
      <x:c r="C40" s="7" t="n">
        <x:f>KPIs!F5</x:f>
        <x:v>0.8052373624483198</x:v>
      </x:c>
      <x:c r="D40" s="7" t="n">
        <x:v>0.8052373624483196</x:v>
      </x:c>
      <x:c r="E40" t="n">
        <x:f>IF(AND(ISNUMBER(C40),ISNUMBER(D40)),ABS(C40-D40),"")</x:f>
        <x:v>2.220446049250313e-16</x:v>
      </x:c>
      <x:c r="F40" t="str">
        <x:f>IF(AND(ISNUMBER(C40),ISNUMBER(D40)),IF(E40&lt;=TOL*MAX(1,ABS(D40)),"OK","DIVERGENTE"),IF(C40=D40,"OK (não calculado: "&amp;C40&amp;")","DIVERGENTE"))</x:f>
        <x:v>OK</x:v>
      </x:c>
    </x:row>
    <x:row r="41">
      <x:c r="A41" t="inlineStr">
        <x:is>
          <x:t xml:space="preserve">Margem de contribuição (%)</x:t>
        </x:is>
      </x:c>
      <x:c r="B41" t="n">
        <x:v>4</x:v>
      </x:c>
      <x:c r="C41" s="7" t="n">
        <x:f>KPIs!G5</x:f>
        <x:v>0.8134652215212902</x:v>
      </x:c>
      <x:c r="D41" s="7" t="n">
        <x:v>0.8134652215212902</x:v>
      </x:c>
      <x:c r="E41" t="n">
        <x:f>IF(AND(ISNUMBER(C41),ISNUMBER(D41)),ABS(C41-D41),"")</x:f>
        <x:v>0</x:v>
      </x:c>
      <x:c r="F41" t="str">
        <x:f>IF(AND(ISNUMBER(C41),ISNUMBER(D41)),IF(E41&lt;=TOL*MAX(1,ABS(D41)),"OK","DIVERGENTE"),IF(C41=D41,"OK (não calculado: "&amp;C41&amp;")","DIVERGENTE"))</x:f>
        <x:v>OK</x:v>
      </x:c>
    </x:row>
    <x:row r="42">
      <x:c r="A42" t="inlineStr">
        <x:is>
          <x:t xml:space="preserve">Margem de contribuição (%)</x:t>
        </x:is>
      </x:c>
      <x:c r="B42" t="n">
        <x:v>5</x:v>
      </x:c>
      <x:c r="C42" s="7" t="n">
        <x:f>KPIs!H5</x:f>
        <x:v>0.8387999915486705</x:v>
      </x:c>
      <x:c r="D42" s="7" t="n">
        <x:v>0.8387999915486705</x:v>
      </x:c>
      <x:c r="E42" t="n">
        <x:f>IF(AND(ISNUMBER(C42),ISNUMBER(D42)),ABS(C42-D42),"")</x:f>
        <x:v>0</x:v>
      </x:c>
      <x:c r="F42" t="str">
        <x:f>IF(AND(ISNUMBER(C42),ISNUMBER(D42)),IF(E42&lt;=TOL*MAX(1,ABS(D42)),"OK","DIVERGENTE"),IF(C42=D42,"OK (não calculado: "&amp;C42&amp;")","DIVERGENTE"))</x:f>
        <x:v>OK</x:v>
      </x:c>
    </x:row>
    <x:row r="43">
      <x:c r="A43" t="inlineStr">
        <x:is>
          <x:t xml:space="preserve">Margem de contribuição (%)</x:t>
        </x:is>
      </x:c>
      <x:c r="B43" t="n">
        <x:v>6</x:v>
      </x:c>
      <x:c r="C43" s="7" t="n">
        <x:f>KPIs!I5</x:f>
        <x:v>0.8467958312878077</x:v>
      </x:c>
      <x:c r="D43" s="7" t="n">
        <x:v>0.8467958312878077</x:v>
      </x:c>
      <x:c r="E43" t="n">
        <x:f>IF(AND(ISNUMBER(C43),ISNUMBER(D43)),ABS(C43-D43),"")</x:f>
        <x:v>0</x:v>
      </x:c>
      <x:c r="F43" t="str">
        <x:f>IF(AND(ISNUMBER(C43),ISNUMBER(D43)),IF(E43&lt;=TOL*MAX(1,ABS(D43)),"OK","DIVERGENTE"),IF(C43=D43,"OK (não calculado: "&amp;C43&amp;")","DIVERGENTE"))</x:f>
        <x:v>OK</x:v>
      </x:c>
    </x:row>
    <x:row r="44">
      <x:c r="A44" t="inlineStr">
        <x:is>
          <x:t xml:space="preserve">Margem de contribuição (%)</x:t>
        </x:is>
      </x:c>
      <x:c r="B44" t="n">
        <x:v>7</x:v>
      </x:c>
      <x:c r="C44" s="7" t="n">
        <x:f>KPIs!J5</x:f>
        <x:v>0.8399223125554433</x:v>
      </x:c>
      <x:c r="D44" s="7" t="n">
        <x:v>0.8399223125554433</x:v>
      </x:c>
      <x:c r="E44" t="n">
        <x:f>IF(AND(ISNUMBER(C44),ISNUMBER(D44)),ABS(C44-D44),"")</x:f>
        <x:v>0</x:v>
      </x:c>
      <x:c r="F44" t="str">
        <x:f>IF(AND(ISNUMBER(C44),ISNUMBER(D44)),IF(E44&lt;=TOL*MAX(1,ABS(D44)),"OK","DIVERGENTE"),IF(C44=D44,"OK (não calculado: "&amp;C44&amp;")","DIVERGENTE"))</x:f>
        <x:v>OK</x:v>
      </x:c>
    </x:row>
    <x:row r="45">
      <x:c r="A45" t="inlineStr">
        <x:is>
          <x:t xml:space="preserve">Margem de contribuição (%)</x:t>
        </x:is>
      </x:c>
      <x:c r="B45" t="n">
        <x:v>8</x:v>
      </x:c>
      <x:c r="C45" s="7" t="n">
        <x:f>KPIs!K5</x:f>
        <x:v>0.8417741321107398</x:v>
      </x:c>
      <x:c r="D45" s="7" t="n">
        <x:v>0.8417741321107397</x:v>
      </x:c>
      <x:c r="E45" t="n">
        <x:f>IF(AND(ISNUMBER(C45),ISNUMBER(D45)),ABS(C45-D45),"")</x:f>
        <x:v>1.1102230246251565e-16</x:v>
      </x:c>
      <x:c r="F45" t="str">
        <x:f>IF(AND(ISNUMBER(C45),ISNUMBER(D45)),IF(E45&lt;=TOL*MAX(1,ABS(D45)),"OK","DIVERGENTE"),IF(C45=D45,"OK (não calculado: "&amp;C45&amp;")","DIVERGENTE"))</x:f>
        <x:v>OK</x:v>
      </x:c>
    </x:row>
    <x:row r="46">
      <x:c r="A46" t="inlineStr">
        <x:is>
          <x:t xml:space="preserve">Margem de contribuição (%)</x:t>
        </x:is>
      </x:c>
      <x:c r="B46" t="n">
        <x:v>9</x:v>
      </x:c>
      <x:c r="C46" s="7" t="n">
        <x:f>KPIs!L5</x:f>
        <x:v>0.8432891644623175</x:v>
      </x:c>
      <x:c r="D46" s="7" t="n">
        <x:v>0.8432891644623175</x:v>
      </x:c>
      <x:c r="E46" t="n">
        <x:f>IF(AND(ISNUMBER(C46),ISNUMBER(D46)),ABS(C46-D46),"")</x:f>
        <x:v>0</x:v>
      </x:c>
      <x:c r="F46" t="str">
        <x:f>IF(AND(ISNUMBER(C46),ISNUMBER(D46)),IF(E46&lt;=TOL*MAX(1,ABS(D46)),"OK","DIVERGENTE"),IF(C46=D46,"OK (não calculado: "&amp;C46&amp;")","DIVERGENTE"))</x:f>
        <x:v>OK</x:v>
      </x:c>
    </x:row>
    <x:row r="47">
      <x:c r="A47" t="inlineStr">
        <x:is>
          <x:t xml:space="preserve">Margem de contribuição (%)</x:t>
        </x:is>
      </x:c>
      <x:c r="B47" t="n">
        <x:v>10</x:v>
      </x:c>
      <x:c r="C47" s="7" t="n">
        <x:f>KPIs!M5</x:f>
        <x:v>0.8668765006108109</x:v>
      </x:c>
      <x:c r="D47" s="7" t="n">
        <x:v>0.8668765006108109</x:v>
      </x:c>
      <x:c r="E47" t="n">
        <x:f>IF(AND(ISNUMBER(C47),ISNUMBER(D47)),ABS(C47-D47),"")</x:f>
        <x:v>0</x:v>
      </x:c>
      <x:c r="F47" t="str">
        <x:f>IF(AND(ISNUMBER(C47),ISNUMBER(D47)),IF(E47&lt;=TOL*MAX(1,ABS(D47)),"OK","DIVERGENTE"),IF(C47=D47,"OK (não calculado: "&amp;C47&amp;")","DIVERGENTE"))</x:f>
        <x:v>OK</x:v>
      </x:c>
    </x:row>
    <x:row r="48">
      <x:c r="A48" t="inlineStr">
        <x:is>
          <x:t xml:space="preserve">Margem de contribuição (%)</x:t>
        </x:is>
      </x:c>
      <x:c r="B48" t="n">
        <x:v>11</x:v>
      </x:c>
      <x:c r="C48" s="7" t="n">
        <x:f>KPIs!N5</x:f>
        <x:v>0.8967242788155949</x:v>
      </x:c>
      <x:c r="D48" s="7" t="n">
        <x:v>0.8967242788155949</x:v>
      </x:c>
      <x:c r="E48" t="n">
        <x:f>IF(AND(ISNUMBER(C48),ISNUMBER(D48)),ABS(C48-D48),"")</x:f>
        <x:v>0</x:v>
      </x:c>
      <x:c r="F48" t="str">
        <x:f>IF(AND(ISNUMBER(C48),ISNUMBER(D48)),IF(E48&lt;=TOL*MAX(1,ABS(D48)),"OK","DIVERGENTE"),IF(C48=D48,"OK (não calculado: "&amp;C48&amp;")","DIVERGENTE"))</x:f>
        <x:v>OK</x:v>
      </x:c>
    </x:row>
    <x:row r="49">
      <x:c r="A49" t="inlineStr">
        <x:is>
          <x:t xml:space="preserve">Margem de contribuição (%)</x:t>
        </x:is>
      </x:c>
      <x:c r="B49" t="n">
        <x:v>12</x:v>
      </x:c>
      <x:c r="C49" s="7" t="n">
        <x:f>KPIs!O5</x:f>
        <x:v>0.9130051364369328</x:v>
      </x:c>
      <x:c r="D49" s="7" t="n">
        <x:v>0.9130051364369328</x:v>
      </x:c>
      <x:c r="E49" t="n">
        <x:f>IF(AND(ISNUMBER(C49),ISNUMBER(D49)),ABS(C49-D49),"")</x:f>
        <x:v>0</x:v>
      </x:c>
      <x:c r="F49" t="str">
        <x:f>IF(AND(ISNUMBER(C49),ISNUMBER(D49)),IF(E49&lt;=TOL*MAX(1,ABS(D49)),"OK","DIVERGENTE"),IF(C49=D49,"OK (não calculado: "&amp;C49&amp;")","DIVERGENTE"))</x:f>
        <x:v>OK</x:v>
      </x:c>
    </x:row>
    <x:row r="50">
      <x:c r="A50" t="inlineStr">
        <x:is>
          <x:t xml:space="preserve">EBITDA</x:t>
        </x:is>
      </x:c>
      <x:c r="B50" t="n">
        <x:v>1</x:v>
      </x:c>
      <x:c r="C50" s="6" t="n">
        <x:f>KPIs!D6</x:f>
        <x:v>5152102089.769878</x:v>
      </x:c>
      <x:c r="D50" s="6" t="n">
        <x:v>5152102089.769878</x:v>
      </x:c>
      <x:c r="E50" t="n">
        <x:f>IF(AND(ISNUMBER(C50),ISNUMBER(D50)),ABS(C50-D50),"")</x:f>
        <x:v>0</x:v>
      </x:c>
      <x:c r="F50" t="str">
        <x:f>IF(AND(ISNUMBER(C50),ISNUMBER(D50)),IF(E50&lt;=TOL*MAX(1,ABS(D50)),"OK","DIVERGENTE"),IF(C50=D50,"OK (não calculado: "&amp;C50&amp;")","DIVERGENTE"))</x:f>
        <x:v>OK</x:v>
      </x:c>
    </x:row>
    <x:row r="51">
      <x:c r="A51" t="inlineStr">
        <x:is>
          <x:t xml:space="preserve">EBITDA</x:t>
        </x:is>
      </x:c>
      <x:c r="B51" t="n">
        <x:v>2</x:v>
      </x:c>
      <x:c r="C51" s="6" t="n">
        <x:f>KPIs!E6</x:f>
        <x:v>4615494381.97871</x:v>
      </x:c>
      <x:c r="D51" s="6" t="n">
        <x:v>4615494381.97871</x:v>
      </x:c>
      <x:c r="E51" t="n">
        <x:f>IF(AND(ISNUMBER(C51),ISNUMBER(D51)),ABS(C51-D51),"")</x:f>
        <x:v>0</x:v>
      </x:c>
      <x:c r="F51" t="str">
        <x:f>IF(AND(ISNUMBER(C51),ISNUMBER(D51)),IF(E51&lt;=TOL*MAX(1,ABS(D51)),"OK","DIVERGENTE"),IF(C51=D51,"OK (não calculado: "&amp;C51&amp;")","DIVERGENTE"))</x:f>
        <x:v>OK</x:v>
      </x:c>
    </x:row>
    <x:row r="52">
      <x:c r="A52" t="inlineStr">
        <x:is>
          <x:t xml:space="preserve">EBITDA</x:t>
        </x:is>
      </x:c>
      <x:c r="B52" t="n">
        <x:v>3</x:v>
      </x:c>
      <x:c r="C52" s="6" t="n">
        <x:f>KPIs!F6</x:f>
        <x:v>4896584087.736614</x:v>
      </x:c>
      <x:c r="D52" s="6" t="n">
        <x:v>4896584087.736614</x:v>
      </x:c>
      <x:c r="E52" t="n">
        <x:f>IF(AND(ISNUMBER(C52),ISNUMBER(D52)),ABS(C52-D52),"")</x:f>
        <x:v>0</x:v>
      </x:c>
      <x:c r="F52" t="str">
        <x:f>IF(AND(ISNUMBER(C52),ISNUMBER(D52)),IF(E52&lt;=TOL*MAX(1,ABS(D52)),"OK","DIVERGENTE"),IF(C52=D52,"OK (não calculado: "&amp;C52&amp;")","DIVERGENTE"))</x:f>
        <x:v>OK</x:v>
      </x:c>
    </x:row>
    <x:row r="53">
      <x:c r="A53" t="inlineStr">
        <x:is>
          <x:t xml:space="preserve">EBITDA</x:t>
        </x:is>
      </x:c>
      <x:c r="B53" t="n">
        <x:v>4</x:v>
      </x:c>
      <x:c r="C53" s="6" t="n">
        <x:f>KPIs!G6</x:f>
        <x:v>5169078815.773746</x:v>
      </x:c>
      <x:c r="D53" s="6" t="n">
        <x:v>5169078815.773746</x:v>
      </x:c>
      <x:c r="E53" t="n">
        <x:f>IF(AND(ISNUMBER(C53),ISNUMBER(D53)),ABS(C53-D53),"")</x:f>
        <x:v>0</x:v>
      </x:c>
      <x:c r="F53" t="str">
        <x:f>IF(AND(ISNUMBER(C53),ISNUMBER(D53)),IF(E53&lt;=TOL*MAX(1,ABS(D53)),"OK","DIVERGENTE"),IF(C53=D53,"OK (não calculado: "&amp;C53&amp;")","DIVERGENTE"))</x:f>
        <x:v>OK</x:v>
      </x:c>
    </x:row>
    <x:row r="54">
      <x:c r="A54" t="inlineStr">
        <x:is>
          <x:t xml:space="preserve">EBITDA</x:t>
        </x:is>
      </x:c>
      <x:c r="B54" t="n">
        <x:v>5</x:v>
      </x:c>
      <x:c r="C54" s="6" t="n">
        <x:f>KPIs!H6</x:f>
        <x:v>5472534547.556581</x:v>
      </x:c>
      <x:c r="D54" s="6" t="n">
        <x:v>5472534547.556581</x:v>
      </x:c>
      <x:c r="E54" t="n">
        <x:f>IF(AND(ISNUMBER(C54),ISNUMBER(D54)),ABS(C54-D54),"")</x:f>
        <x:v>0</x:v>
      </x:c>
      <x:c r="F54" t="str">
        <x:f>IF(AND(ISNUMBER(C54),ISNUMBER(D54)),IF(E54&lt;=TOL*MAX(1,ABS(D54)),"OK","DIVERGENTE"),IF(C54=D54,"OK (não calculado: "&amp;C54&amp;")","DIVERGENTE"))</x:f>
        <x:v>OK</x:v>
      </x:c>
    </x:row>
    <x:row r="55">
      <x:c r="A55" t="inlineStr">
        <x:is>
          <x:t xml:space="preserve">EBITDA</x:t>
        </x:is>
      </x:c>
      <x:c r="B55" t="n">
        <x:v>6</x:v>
      </x:c>
      <x:c r="C55" s="6" t="n">
        <x:f>KPIs!I6</x:f>
        <x:v>5836868799.41063</x:v>
      </x:c>
      <x:c r="D55" s="6" t="n">
        <x:v>5836868799.41063</x:v>
      </x:c>
      <x:c r="E55" t="n">
        <x:f>IF(AND(ISNUMBER(C55),ISNUMBER(D55)),ABS(C55-D55),"")</x:f>
        <x:v>0</x:v>
      </x:c>
      <x:c r="F55" t="str">
        <x:f>IF(AND(ISNUMBER(C55),ISNUMBER(D55)),IF(E55&lt;=TOL*MAX(1,ABS(D55)),"OK","DIVERGENTE"),IF(C55=D55,"OK (não calculado: "&amp;C55&amp;")","DIVERGENTE"))</x:f>
        <x:v>OK</x:v>
      </x:c>
    </x:row>
    <x:row r="56">
      <x:c r="A56" t="inlineStr">
        <x:is>
          <x:t xml:space="preserve">EBITDA</x:t>
        </x:is>
      </x:c>
      <x:c r="B56" t="n">
        <x:v>7</x:v>
      </x:c>
      <x:c r="C56" s="6" t="n">
        <x:f>KPIs!J6</x:f>
        <x:v>6221628537.702708</x:v>
      </x:c>
      <x:c r="D56" s="6" t="n">
        <x:v>6221628537.702708</x:v>
      </x:c>
      <x:c r="E56" t="n">
        <x:f>IF(AND(ISNUMBER(C56),ISNUMBER(D56)),ABS(C56-D56),"")</x:f>
        <x:v>0</x:v>
      </x:c>
      <x:c r="F56" t="str">
        <x:f>IF(AND(ISNUMBER(C56),ISNUMBER(D56)),IF(E56&lt;=TOL*MAX(1,ABS(D56)),"OK","DIVERGENTE"),IF(C56=D56,"OK (não calculado: "&amp;C56&amp;")","DIVERGENTE"))</x:f>
        <x:v>OK</x:v>
      </x:c>
    </x:row>
    <x:row r="57">
      <x:c r="A57" t="inlineStr">
        <x:is>
          <x:t xml:space="preserve">EBITDA</x:t>
        </x:is>
      </x:c>
      <x:c r="B57" t="n">
        <x:v>8</x:v>
      </x:c>
      <x:c r="C57" s="6" t="n">
        <x:f>KPIs!K6</x:f>
        <x:v>6650720919.57041</x:v>
      </x:c>
      <x:c r="D57" s="6" t="n">
        <x:v>6650720919.57041</x:v>
      </x:c>
      <x:c r="E57" t="n">
        <x:f>IF(AND(ISNUMBER(C57),ISNUMBER(D57)),ABS(C57-D57),"")</x:f>
        <x:v>0</x:v>
      </x:c>
      <x:c r="F57" t="str">
        <x:f>IF(AND(ISNUMBER(C57),ISNUMBER(D57)),IF(E57&lt;=TOL*MAX(1,ABS(D57)),"OK","DIVERGENTE"),IF(C57=D57,"OK (não calculado: "&amp;C57&amp;")","DIVERGENTE"))</x:f>
        <x:v>OK</x:v>
      </x:c>
    </x:row>
    <x:row r="58">
      <x:c r="A58" t="inlineStr">
        <x:is>
          <x:t xml:space="preserve">EBITDA</x:t>
        </x:is>
      </x:c>
      <x:c r="B58" t="n">
        <x:v>9</x:v>
      </x:c>
      <x:c r="C58" s="6" t="n">
        <x:f>KPIs!L6</x:f>
        <x:v>7061535492.225078</x:v>
      </x:c>
      <x:c r="D58" s="6" t="n">
        <x:v>7061535492.225078</x:v>
      </x:c>
      <x:c r="E58" t="n">
        <x:f>IF(AND(ISNUMBER(C58),ISNUMBER(D58)),ABS(C58-D58),"")</x:f>
        <x:v>0</x:v>
      </x:c>
      <x:c r="F58" t="str">
        <x:f>IF(AND(ISNUMBER(C58),ISNUMBER(D58)),IF(E58&lt;=TOL*MAX(1,ABS(D58)),"OK","DIVERGENTE"),IF(C58=D58,"OK (não calculado: "&amp;C58&amp;")","DIVERGENTE"))</x:f>
        <x:v>OK</x:v>
      </x:c>
    </x:row>
    <x:row r="59">
      <x:c r="A59" t="inlineStr">
        <x:is>
          <x:t xml:space="preserve">EBITDA</x:t>
        </x:is>
      </x:c>
      <x:c r="B59" t="n">
        <x:v>10</x:v>
      </x:c>
      <x:c r="C59" s="6" t="n">
        <x:f>KPIs!M6</x:f>
        <x:v>7543996064.8577</x:v>
      </x:c>
      <x:c r="D59" s="6" t="n">
        <x:v>7543996064.8577</x:v>
      </x:c>
      <x:c r="E59" t="n">
        <x:f>IF(AND(ISNUMBER(C59),ISNUMBER(D59)),ABS(C59-D59),"")</x:f>
        <x:v>0</x:v>
      </x:c>
      <x:c r="F59" t="str">
        <x:f>IF(AND(ISNUMBER(C59),ISNUMBER(D59)),IF(E59&lt;=TOL*MAX(1,ABS(D59)),"OK","DIVERGENTE"),IF(C59=D59,"OK (não calculado: "&amp;C59&amp;")","DIVERGENTE"))</x:f>
        <x:v>OK</x:v>
      </x:c>
    </x:row>
    <x:row r="60">
      <x:c r="A60" t="inlineStr">
        <x:is>
          <x:t xml:space="preserve">EBITDA</x:t>
        </x:is>
      </x:c>
      <x:c r="B60" t="n">
        <x:v>11</x:v>
      </x:c>
      <x:c r="C60" s="6" t="n">
        <x:f>KPIs!N6</x:f>
        <x:v>8007699251.846675</x:v>
      </x:c>
      <x:c r="D60" s="6" t="n">
        <x:v>8007699251.846675</x:v>
      </x:c>
      <x:c r="E60" t="n">
        <x:f>IF(AND(ISNUMBER(C60),ISNUMBER(D60)),ABS(C60-D60),"")</x:f>
        <x:v>0</x:v>
      </x:c>
      <x:c r="F60" t="str">
        <x:f>IF(AND(ISNUMBER(C60),ISNUMBER(D60)),IF(E60&lt;=TOL*MAX(1,ABS(D60)),"OK","DIVERGENTE"),IF(C60=D60,"OK (não calculado: "&amp;C60&amp;")","DIVERGENTE"))</x:f>
        <x:v>OK</x:v>
      </x:c>
    </x:row>
    <x:row r="61">
      <x:c r="A61" t="inlineStr">
        <x:is>
          <x:t xml:space="preserve">EBITDA</x:t>
        </x:is>
      </x:c>
      <x:c r="B61" t="n">
        <x:v>12</x:v>
      </x:c>
      <x:c r="C61" s="6" t="n">
        <x:f>KPIs!O6</x:f>
        <x:v>11425859409.7914</x:v>
      </x:c>
      <x:c r="D61" s="6" t="n">
        <x:v>11425859409.7914</x:v>
      </x:c>
      <x:c r="E61" t="n">
        <x:f>IF(AND(ISNUMBER(C61),ISNUMBER(D61)),ABS(C61-D61),"")</x:f>
        <x:v>0</x:v>
      </x:c>
      <x:c r="F61" t="str">
        <x:f>IF(AND(ISNUMBER(C61),ISNUMBER(D61)),IF(E61&lt;=TOL*MAX(1,ABS(D61)),"OK","DIVERGENTE"),IF(C61=D61,"OK (não calculado: "&amp;C61&amp;")","DIVERGENTE"))</x:f>
        <x:v>OK</x:v>
      </x:c>
    </x:row>
    <x:row r="62">
      <x:c r="A62" t="inlineStr">
        <x:is>
          <x:t xml:space="preserve">Margem EBITDA</x:t>
        </x:is>
      </x:c>
      <x:c r="B62" t="n">
        <x:v>1</x:v>
      </x:c>
      <x:c r="C62" s="7" t="n">
        <x:f>KPIs!D7</x:f>
        <x:v>0.7713711892253724</x:v>
      </x:c>
      <x:c r="D62" s="7" t="n">
        <x:v>0.7713711892253724</x:v>
      </x:c>
      <x:c r="E62" t="n">
        <x:f>IF(AND(ISNUMBER(C62),ISNUMBER(D62)),ABS(C62-D62),"")</x:f>
        <x:v>0</x:v>
      </x:c>
      <x:c r="F62" t="str">
        <x:f>IF(AND(ISNUMBER(C62),ISNUMBER(D62)),IF(E62&lt;=TOL*MAX(1,ABS(D62)),"OK","DIVERGENTE"),IF(C62=D62,"OK (não calculado: "&amp;C62&amp;")","DIVERGENTE"))</x:f>
        <x:v>OK</x:v>
      </x:c>
    </x:row>
    <x:row r="63">
      <x:c r="A63" t="inlineStr">
        <x:is>
          <x:t xml:space="preserve">Margem EBITDA</x:t>
        </x:is>
      </x:c>
      <x:c r="B63" t="n">
        <x:v>2</x:v>
      </x:c>
      <x:c r="C63" s="7" t="n">
        <x:f>KPIs!E7</x:f>
        <x:v>0.7579230571777918</x:v>
      </x:c>
      <x:c r="D63" s="7" t="n">
        <x:v>0.7579230571777918</x:v>
      </x:c>
      <x:c r="E63" t="n">
        <x:f>IF(AND(ISNUMBER(C63),ISNUMBER(D63)),ABS(C63-D63),"")</x:f>
        <x:v>0</x:v>
      </x:c>
      <x:c r="F63" t="str">
        <x:f>IF(AND(ISNUMBER(C63),ISNUMBER(D63)),IF(E63&lt;=TOL*MAX(1,ABS(D63)),"OK","DIVERGENTE"),IF(C63=D63,"OK (não calculado: "&amp;C63&amp;")","DIVERGENTE"))</x:f>
        <x:v>OK</x:v>
      </x:c>
    </x:row>
    <x:row r="64">
      <x:c r="A64" t="inlineStr">
        <x:is>
          <x:t xml:space="preserve">Margem EBITDA</x:t>
        </x:is>
      </x:c>
      <x:c r="B64" t="n">
        <x:v>3</x:v>
      </x:c>
      <x:c r="C64" s="7" t="n">
        <x:f>KPIs!F7</x:f>
        <x:v>0.782854993673986</x:v>
      </x:c>
      <x:c r="D64" s="7" t="n">
        <x:v>0.782854993673986</x:v>
      </x:c>
      <x:c r="E64" t="n">
        <x:f>IF(AND(ISNUMBER(C64),ISNUMBER(D64)),ABS(C64-D64),"")</x:f>
        <x:v>0</x:v>
      </x:c>
      <x:c r="F64" t="str">
        <x:f>IF(AND(ISNUMBER(C64),ISNUMBER(D64)),IF(E64&lt;=TOL*MAX(1,ABS(D64)),"OK","DIVERGENTE"),IF(C64=D64,"OK (não calculado: "&amp;C64&amp;")","DIVERGENTE"))</x:f>
        <x:v>OK</x:v>
      </x:c>
    </x:row>
    <x:row r="65">
      <x:c r="A65" t="inlineStr">
        <x:is>
          <x:t xml:space="preserve">Margem EBITDA</x:t>
        </x:is>
      </x:c>
      <x:c r="B65" t="n">
        <x:v>4</x:v>
      </x:c>
      <x:c r="C65" s="7" t="n">
        <x:f>KPIs!G7</x:f>
        <x:v>0.7934998806914003</x:v>
      </x:c>
      <x:c r="D65" s="7" t="n">
        <x:v>0.7934998806914005</x:v>
      </x:c>
      <x:c r="E65" t="n">
        <x:f>IF(AND(ISNUMBER(C65),ISNUMBER(D65)),ABS(C65-D65),"")</x:f>
        <x:v>2.220446049250313e-16</x:v>
      </x:c>
      <x:c r="F65" t="str">
        <x:f>IF(AND(ISNUMBER(C65),ISNUMBER(D65)),IF(E65&lt;=TOL*MAX(1,ABS(D65)),"OK","DIVERGENTE"),IF(C65=D65,"OK (não calculado: "&amp;C65&amp;")","DIVERGENTE"))</x:f>
        <x:v>OK</x:v>
      </x:c>
    </x:row>
    <x:row r="66">
      <x:c r="A66" t="inlineStr">
        <x:is>
          <x:t xml:space="preserve">Margem EBITDA</x:t>
        </x:is>
      </x:c>
      <x:c r="B66" t="n">
        <x:v>5</x:v>
      </x:c>
      <x:c r="C66" s="7" t="n">
        <x:f>KPIs!H7</x:f>
        <x:v>0.7994242328554704</x:v>
      </x:c>
      <x:c r="D66" s="7" t="n">
        <x:v>0.7994242328554704</x:v>
      </x:c>
      <x:c r="E66" t="n">
        <x:f>IF(AND(ISNUMBER(C66),ISNUMBER(D66)),ABS(C66-D66),"")</x:f>
        <x:v>0</x:v>
      </x:c>
      <x:c r="F66" t="str">
        <x:f>IF(AND(ISNUMBER(C66),ISNUMBER(D66)),IF(E66&lt;=TOL*MAX(1,ABS(D66)),"OK","DIVERGENTE"),IF(C66=D66,"OK (não calculado: "&amp;C66&amp;")","DIVERGENTE"))</x:f>
        <x:v>OK</x:v>
      </x:c>
    </x:row>
    <x:row r="67">
      <x:c r="A67" t="inlineStr">
        <x:is>
          <x:t xml:space="preserve">Margem EBITDA</x:t>
        </x:is>
      </x:c>
      <x:c r="B67" t="n">
        <x:v>6</x:v>
      </x:c>
      <x:c r="C67" s="7" t="n">
        <x:f>KPIs!I7</x:f>
        <x:v>0.8052468517835522</x:v>
      </x:c>
      <x:c r="D67" s="7" t="n">
        <x:v>0.8052468517835522</x:v>
      </x:c>
      <x:c r="E67" t="n">
        <x:f>IF(AND(ISNUMBER(C67),ISNUMBER(D67)),ABS(C67-D67),"")</x:f>
        <x:v>0</x:v>
      </x:c>
      <x:c r="F67" t="str">
        <x:f>IF(AND(ISNUMBER(C67),ISNUMBER(D67)),IF(E67&lt;=TOL*MAX(1,ABS(D67)),"OK","DIVERGENTE"),IF(C67=D67,"OK (não calculado: "&amp;C67&amp;")","DIVERGENTE"))</x:f>
        <x:v>OK</x:v>
      </x:c>
    </x:row>
    <x:row r="68">
      <x:c r="A68" t="inlineStr">
        <x:is>
          <x:t xml:space="preserve">Margem EBITDA</x:t>
        </x:is>
      </x:c>
      <x:c r="B68" t="n">
        <x:v>7</x:v>
      </x:c>
      <x:c r="C68" s="7" t="n">
        <x:f>KPIs!J7</x:f>
        <x:v>0.8107925867906918</x:v>
      </x:c>
      <x:c r="D68" s="7" t="n">
        <x:v>0.8107925867906918</x:v>
      </x:c>
      <x:c r="E68" t="n">
        <x:f>IF(AND(ISNUMBER(C68),ISNUMBER(D68)),ABS(C68-D68),"")</x:f>
        <x:v>0</x:v>
      </x:c>
      <x:c r="F68" t="str">
        <x:f>IF(AND(ISNUMBER(C68),ISNUMBER(D68)),IF(E68&lt;=TOL*MAX(1,ABS(D68)),"OK","DIVERGENTE"),IF(C68=D68,"OK (não calculado: "&amp;C68&amp;")","DIVERGENTE"))</x:f>
        <x:v>OK</x:v>
      </x:c>
    </x:row>
    <x:row r="69">
      <x:c r="A69" t="inlineStr">
        <x:is>
          <x:t xml:space="preserve">Margem EBITDA</x:t>
        </x:is>
      </x:c>
      <x:c r="B69" t="n">
        <x:v>8</x:v>
      </x:c>
      <x:c r="C69" s="7" t="n">
        <x:f>KPIs!K7</x:f>
        <x:v>0.8144424532342167</x:v>
      </x:c>
      <x:c r="D69" s="7" t="n">
        <x:v>0.8144424532342167</x:v>
      </x:c>
      <x:c r="E69" t="n">
        <x:f>IF(AND(ISNUMBER(C69),ISNUMBER(D69)),ABS(C69-D69),"")</x:f>
        <x:v>0</x:v>
      </x:c>
      <x:c r="F69" t="str">
        <x:f>IF(AND(ISNUMBER(C69),ISNUMBER(D69)),IF(E69&lt;=TOL*MAX(1,ABS(D69)),"OK","DIVERGENTE"),IF(C69=D69,"OK (não calculado: "&amp;C69&amp;")","DIVERGENTE"))</x:f>
        <x:v>OK</x:v>
      </x:c>
    </x:row>
    <x:row r="70">
      <x:c r="A70" t="inlineStr">
        <x:is>
          <x:t xml:space="preserve">Margem EBITDA</x:t>
        </x:is>
      </x:c>
      <x:c r="B70" t="n">
        <x:v>9</x:v>
      </x:c>
      <x:c r="C70" s="7" t="n">
        <x:f>KPIs!L7</x:f>
        <x:v>0.817935143746862</x:v>
      </x:c>
      <x:c r="D70" s="7" t="n">
        <x:v>0.817935143746862</x:v>
      </x:c>
      <x:c r="E70" t="n">
        <x:f>IF(AND(ISNUMBER(C70),ISNUMBER(D70)),ABS(C70-D70),"")</x:f>
        <x:v>0</x:v>
      </x:c>
      <x:c r="F70" t="str">
        <x:f>IF(AND(ISNUMBER(C70),ISNUMBER(D70)),IF(E70&lt;=TOL*MAX(1,ABS(D70)),"OK","DIVERGENTE"),IF(C70=D70,"OK (não calculado: "&amp;C70&amp;")","DIVERGENTE"))</x:f>
        <x:v>OK</x:v>
      </x:c>
    </x:row>
    <x:row r="71">
      <x:c r="A71" t="inlineStr">
        <x:is>
          <x:t xml:space="preserve">Margem EBITDA</x:t>
        </x:is>
      </x:c>
      <x:c r="B71" t="n">
        <x:v>10</x:v>
      </x:c>
      <x:c r="C71" s="7" t="n">
        <x:f>KPIs!M7</x:f>
        <x:v>0.8226061064331642</x:v>
      </x:c>
      <x:c r="D71" s="7" t="n">
        <x:v>0.8226061064331642</x:v>
      </x:c>
      <x:c r="E71" t="n">
        <x:f>IF(AND(ISNUMBER(C71),ISNUMBER(D71)),ABS(C71-D71),"")</x:f>
        <x:v>0</x:v>
      </x:c>
      <x:c r="F71" t="str">
        <x:f>IF(AND(ISNUMBER(C71),ISNUMBER(D71)),IF(E71&lt;=TOL*MAX(1,ABS(D71)),"OK","DIVERGENTE"),IF(C71=D71,"OK (não calculado: "&amp;C71&amp;")","DIVERGENTE"))</x:f>
        <x:v>OK</x:v>
      </x:c>
    </x:row>
    <x:row r="72">
      <x:c r="A72" t="inlineStr">
        <x:is>
          <x:t xml:space="preserve">Margem EBITDA</x:t>
        </x:is>
      </x:c>
      <x:c r="B72" t="n">
        <x:v>11</x:v>
      </x:c>
      <x:c r="C72" s="7" t="n">
        <x:f>KPIs!N7</x:f>
        <x:v>0.8235844782171599</x:v>
      </x:c>
      <x:c r="D72" s="7" t="n">
        <x:v>0.8235844782171599</x:v>
      </x:c>
      <x:c r="E72" t="n">
        <x:f>IF(AND(ISNUMBER(C72),ISNUMBER(D72)),ABS(C72-D72),"")</x:f>
        <x:v>0</x:v>
      </x:c>
      <x:c r="F72" t="str">
        <x:f>IF(AND(ISNUMBER(C72),ISNUMBER(D72)),IF(E72&lt;=TOL*MAX(1,ABS(D72)),"OK","DIVERGENTE"),IF(C72=D72,"OK (não calculado: "&amp;C72&amp;")","DIVERGENTE"))</x:f>
        <x:v>OK</x:v>
      </x:c>
    </x:row>
    <x:row r="73">
      <x:c r="A73" t="inlineStr">
        <x:is>
          <x:t xml:space="preserve">Margem EBITDA</x:t>
        </x:is>
      </x:c>
      <x:c r="B73" t="n">
        <x:v>12</x:v>
      </x:c>
      <x:c r="C73" s="7" t="n">
        <x:f>KPIs!O7</x:f>
        <x:v>0.9551485552779352</x:v>
      </x:c>
      <x:c r="D73" s="7" t="n">
        <x:v>0.9551485552779353</x:v>
      </x:c>
      <x:c r="E73" t="n">
        <x:f>IF(AND(ISNUMBER(C73),ISNUMBER(D73)),ABS(C73-D73),"")</x:f>
        <x:v>1.1102230246251565e-16</x:v>
      </x:c>
      <x:c r="F73" t="str">
        <x:f>IF(AND(ISNUMBER(C73),ISNUMBER(D73)),IF(E73&lt;=TOL*MAX(1,ABS(D73)),"OK","DIVERGENTE"),IF(C73=D73,"OK (não calculado: "&amp;C73&amp;")","DIVERGENTE"))</x:f>
        <x:v>OK</x:v>
      </x:c>
    </x:row>
    <x:row r="74">
      <x:c r="A74" t="inlineStr">
        <x:is>
          <x:t xml:space="preserve">Margem líquida</x:t>
        </x:is>
      </x:c>
      <x:c r="B74" t="n">
        <x:v>1</x:v>
      </x:c>
      <x:c r="C74" s="7" t="n">
        <x:f>KPIs!D8</x:f>
        <x:v>0.36173179447600123</x:v>
      </x:c>
      <x:c r="D74" s="7" t="n">
        <x:v>0.3617317944760012</x:v>
      </x:c>
      <x:c r="E74" t="n">
        <x:f>IF(AND(ISNUMBER(C74),ISNUMBER(D74)),ABS(C74-D74),"")</x:f>
        <x:v>5.551115123125783e-17</x:v>
      </x:c>
      <x:c r="F74" t="str">
        <x:f>IF(AND(ISNUMBER(C74),ISNUMBER(D74)),IF(E74&lt;=TOL*MAX(1,ABS(D74)),"OK","DIVERGENTE"),IF(C74=D74,"OK (não calculado: "&amp;C74&amp;")","DIVERGENTE"))</x:f>
        <x:v>OK</x:v>
      </x:c>
    </x:row>
    <x:row r="75">
      <x:c r="A75" t="inlineStr">
        <x:is>
          <x:t xml:space="preserve">Margem líquida</x:t>
        </x:is>
      </x:c>
      <x:c r="B75" t="n">
        <x:v>2</x:v>
      </x:c>
      <x:c r="C75" s="7" t="n">
        <x:f>KPIs!E8</x:f>
        <x:v>0.32304628869609375</x:v>
      </x:c>
      <x:c r="D75" s="7" t="n">
        <x:v>0.3230462886960938</x:v>
      </x:c>
      <x:c r="E75" t="n">
        <x:f>IF(AND(ISNUMBER(C75),ISNUMBER(D75)),ABS(C75-D75),"")</x:f>
        <x:v>5.551115123125783e-17</x:v>
      </x:c>
      <x:c r="F75" t="str">
        <x:f>IF(AND(ISNUMBER(C75),ISNUMBER(D75)),IF(E75&lt;=TOL*MAX(1,ABS(D75)),"OK","DIVERGENTE"),IF(C75=D75,"OK (não calculado: "&amp;C75&amp;")","DIVERGENTE"))</x:f>
        <x:v>OK</x:v>
      </x:c>
    </x:row>
    <x:row r="76">
      <x:c r="A76" t="inlineStr">
        <x:is>
          <x:t xml:space="preserve">Margem líquida</x:t>
        </x:is>
      </x:c>
      <x:c r="B76" t="n">
        <x:v>3</x:v>
      </x:c>
      <x:c r="C76" s="7" t="n">
        <x:f>KPIs!F8</x:f>
        <x:v>0.3378988589318913</x:v>
      </x:c>
      <x:c r="D76" s="7" t="n">
        <x:v>0.3378988589318914</x:v>
      </x:c>
      <x:c r="E76" t="n">
        <x:f>IF(AND(ISNUMBER(C76),ISNUMBER(D76)),ABS(C76-D76),"")</x:f>
        <x:v>1.1102230246251565e-16</x:v>
      </x:c>
      <x:c r="F76" t="str">
        <x:f>IF(AND(ISNUMBER(C76),ISNUMBER(D76)),IF(E76&lt;=TOL*MAX(1,ABS(D76)),"OK","DIVERGENTE"),IF(C76=D76,"OK (não calculado: "&amp;C76&amp;")","DIVERGENTE"))</x:f>
        <x:v>OK</x:v>
      </x:c>
    </x:row>
    <x:row r="77">
      <x:c r="A77" t="inlineStr">
        <x:is>
          <x:t xml:space="preserve">Margem líquida</x:t>
        </x:is>
      </x:c>
      <x:c r="B77" t="n">
        <x:v>4</x:v>
      </x:c>
      <x:c r="C77" s="7" t="n">
        <x:f>KPIs!G8</x:f>
        <x:v>0.3534353452835697</x:v>
      </x:c>
      <x:c r="D77" s="7" t="n">
        <x:v>0.3534353452835696</x:v>
      </x:c>
      <x:c r="E77" t="n">
        <x:f>IF(AND(ISNUMBER(C77),ISNUMBER(D77)),ABS(C77-D77),"")</x:f>
        <x:v>5.551115123125783e-17</x:v>
      </x:c>
      <x:c r="F77" t="str">
        <x:f>IF(AND(ISNUMBER(C77),ISNUMBER(D77)),IF(E77&lt;=TOL*MAX(1,ABS(D77)),"OK","DIVERGENTE"),IF(C77=D77,"OK (não calculado: "&amp;C77&amp;")","DIVERGENTE"))</x:f>
        <x:v>OK</x:v>
      </x:c>
    </x:row>
    <x:row r="78">
      <x:c r="A78" t="inlineStr">
        <x:is>
          <x:t xml:space="preserve">Margem líquida</x:t>
        </x:is>
      </x:c>
      <x:c r="B78" t="n">
        <x:v>5</x:v>
      </x:c>
      <x:c r="C78" s="7" t="n">
        <x:f>KPIs!H8</x:f>
        <x:v>0.38493744742011754</x:v>
      </x:c>
      <x:c r="D78" s="7" t="n">
        <x:v>0.3849374474201175</x:v>
      </x:c>
      <x:c r="E78" t="n">
        <x:f>IF(AND(ISNUMBER(C78),ISNUMBER(D78)),ABS(C78-D78),"")</x:f>
        <x:v>5.551115123125783e-17</x:v>
      </x:c>
      <x:c r="F78" t="str">
        <x:f>IF(AND(ISNUMBER(C78),ISNUMBER(D78)),IF(E78&lt;=TOL*MAX(1,ABS(D78)),"OK","DIVERGENTE"),IF(C78=D78,"OK (não calculado: "&amp;C78&amp;")","DIVERGENTE"))</x:f>
        <x:v>OK</x:v>
      </x:c>
    </x:row>
    <x:row r="79">
      <x:c r="A79" t="inlineStr">
        <x:is>
          <x:t xml:space="preserve">Margem líquida</x:t>
        </x:is>
      </x:c>
      <x:c r="B79" t="n">
        <x:v>6</x:v>
      </x:c>
      <x:c r="C79" s="7" t="n">
        <x:f>KPIs!I8</x:f>
        <x:v>0.40709838703367945</x:v>
      </x:c>
      <x:c r="D79" s="7" t="n">
        <x:v>0.4070983870336795</x:v>
      </x:c>
      <x:c r="E79" t="n">
        <x:f>IF(AND(ISNUMBER(C79),ISNUMBER(D79)),ABS(C79-D79),"")</x:f>
        <x:v>5.551115123125783e-17</x:v>
      </x:c>
      <x:c r="F79" t="str">
        <x:f>IF(AND(ISNUMBER(C79),ISNUMBER(D79)),IF(E79&lt;=TOL*MAX(1,ABS(D79)),"OK","DIVERGENTE"),IF(C79=D79,"OK (não calculado: "&amp;C79&amp;")","DIVERGENTE"))</x:f>
        <x:v>OK</x:v>
      </x:c>
    </x:row>
    <x:row r="80">
      <x:c r="A80" t="inlineStr">
        <x:is>
          <x:t xml:space="preserve">Margem líquida</x:t>
        </x:is>
      </x:c>
      <x:c r="B80" t="n">
        <x:v>7</x:v>
      </x:c>
      <x:c r="C80" s="7" t="n">
        <x:f>KPIs!J8</x:f>
        <x:v>0.4094583441501477</x:v>
      </x:c>
      <x:c r="D80" s="7" t="n">
        <x:v>0.4094583441501477</x:v>
      </x:c>
      <x:c r="E80" t="n">
        <x:f>IF(AND(ISNUMBER(C80),ISNUMBER(D80)),ABS(C80-D80),"")</x:f>
        <x:v>0</x:v>
      </x:c>
      <x:c r="F80" t="str">
        <x:f>IF(AND(ISNUMBER(C80),ISNUMBER(D80)),IF(E80&lt;=TOL*MAX(1,ABS(D80)),"OK","DIVERGENTE"),IF(C80=D80,"OK (não calculado: "&amp;C80&amp;")","DIVERGENTE"))</x:f>
        <x:v>OK</x:v>
      </x:c>
    </x:row>
    <x:row r="81">
      <x:c r="A81" t="inlineStr">
        <x:is>
          <x:t xml:space="preserve">Margem líquida</x:t>
        </x:is>
      </x:c>
      <x:c r="B81" t="n">
        <x:v>8</x:v>
      </x:c>
      <x:c r="C81" s="7" t="n">
        <x:f>KPIs!K8</x:f>
        <x:v>0.41609419366668865</x:v>
      </x:c>
      <x:c r="D81" s="7" t="n">
        <x:v>0.4160941936666887</x:v>
      </x:c>
      <x:c r="E81" t="n">
        <x:f>IF(AND(ISNUMBER(C81),ISNUMBER(D81)),ABS(C81-D81),"")</x:f>
        <x:v>5.551115123125783e-17</x:v>
      </x:c>
      <x:c r="F81" t="str">
        <x:f>IF(AND(ISNUMBER(C81),ISNUMBER(D81)),IF(E81&lt;=TOL*MAX(1,ABS(D81)),"OK","DIVERGENTE"),IF(C81=D81,"OK (não calculado: "&amp;C81&amp;")","DIVERGENTE"))</x:f>
        <x:v>OK</x:v>
      </x:c>
    </x:row>
    <x:row r="82">
      <x:c r="A82" t="inlineStr">
        <x:is>
          <x:t xml:space="preserve">Margem líquida</x:t>
        </x:is>
      </x:c>
      <x:c r="B82" t="n">
        <x:v>9</x:v>
      </x:c>
      <x:c r="C82" s="7" t="n">
        <x:f>KPIs!L8</x:f>
        <x:v>0.4248715204556295</x:v>
      </x:c>
      <x:c r="D82" s="7" t="n">
        <x:v>0.4248715204556294</x:v>
      </x:c>
      <x:c r="E82" t="n">
        <x:f>IF(AND(ISNUMBER(C82),ISNUMBER(D82)),ABS(C82-D82),"")</x:f>
        <x:v>5.551115123125783e-17</x:v>
      </x:c>
      <x:c r="F82" t="str">
        <x:f>IF(AND(ISNUMBER(C82),ISNUMBER(D82)),IF(E82&lt;=TOL*MAX(1,ABS(D82)),"OK","DIVERGENTE"),IF(C82=D82,"OK (não calculado: "&amp;C82&amp;")","DIVERGENTE"))</x:f>
        <x:v>OK</x:v>
      </x:c>
    </x:row>
    <x:row r="83">
      <x:c r="A83" t="inlineStr">
        <x:is>
          <x:t xml:space="preserve">Margem líquida</x:t>
        </x:is>
      </x:c>
      <x:c r="B83" t="n">
        <x:v>10</x:v>
      </x:c>
      <x:c r="C83" s="7" t="n">
        <x:f>KPIs!M8</x:f>
        <x:v>0.4506309956861538</x:v>
      </x:c>
      <x:c r="D83" s="7" t="n">
        <x:v>0.4506309956861538</x:v>
      </x:c>
      <x:c r="E83" t="n">
        <x:f>IF(AND(ISNUMBER(C83),ISNUMBER(D83)),ABS(C83-D83),"")</x:f>
        <x:v>0</x:v>
      </x:c>
      <x:c r="F83" t="str">
        <x:f>IF(AND(ISNUMBER(C83),ISNUMBER(D83)),IF(E83&lt;=TOL*MAX(1,ABS(D83)),"OK","DIVERGENTE"),IF(C83=D83,"OK (não calculado: "&amp;C83&amp;")","DIVERGENTE"))</x:f>
        <x:v>OK</x:v>
      </x:c>
    </x:row>
    <x:row r="84">
      <x:c r="A84" t="inlineStr">
        <x:is>
          <x:t xml:space="preserve">Margem líquida</x:t>
        </x:is>
      </x:c>
      <x:c r="B84" t="n">
        <x:v>11</x:v>
      </x:c>
      <x:c r="C84" s="7" t="n">
        <x:f>KPIs!N8</x:f>
        <x:v>0.47866307967521887</x:v>
      </x:c>
      <x:c r="D84" s="7" t="n">
        <x:v>0.4786630796752189</x:v>
      </x:c>
      <x:c r="E84" t="n">
        <x:f>IF(AND(ISNUMBER(C84),ISNUMBER(D84)),ABS(C84-D84),"")</x:f>
        <x:v>5.551115123125783e-17</x:v>
      </x:c>
      <x:c r="F84" t="str">
        <x:f>IF(AND(ISNUMBER(C84),ISNUMBER(D84)),IF(E84&lt;=TOL*MAX(1,ABS(D84)),"OK","DIVERGENTE"),IF(C84=D84,"OK (não calculado: "&amp;C84&amp;")","DIVERGENTE"))</x:f>
        <x:v>OK</x:v>
      </x:c>
    </x:row>
    <x:row r="85">
      <x:c r="A85" t="inlineStr">
        <x:is>
          <x:t xml:space="preserve">Margem líquida</x:t>
        </x:is>
      </x:c>
      <x:c r="B85" t="n">
        <x:v>12</x:v>
      </x:c>
      <x:c r="C85" s="7" t="n">
        <x:f>KPIs!O8</x:f>
        <x:v>0.5768096320237844</x:v>
      </x:c>
      <x:c r="D85" s="7" t="n">
        <x:v>0.5768096320237844</x:v>
      </x:c>
      <x:c r="E85" t="n">
        <x:f>IF(AND(ISNUMBER(C85),ISNUMBER(D85)),ABS(C85-D85),"")</x:f>
        <x:v>0</x:v>
      </x:c>
      <x:c r="F85" t="str">
        <x:f>IF(AND(ISNUMBER(C85),ISNUMBER(D85)),IF(E85&lt;=TOL*MAX(1,ABS(D85)),"OK","DIVERGENTE"),IF(C85=D85,"OK (não calculado: "&amp;C85&amp;")","DIVERGENTE"))</x:f>
        <x:v>OK</x:v>
      </x:c>
    </x:row>
    <x:row r="86">
      <x:c r="A86" t="inlineStr">
        <x:is>
          <x:t xml:space="preserve">Liquidez corrente</x:t>
        </x:is>
      </x:c>
      <x:c r="B86" t="n">
        <x:v>1</x:v>
      </x:c>
      <x:c r="C86" s="9" t="n">
        <x:f>KPIs!D9</x:f>
        <x:v>1.5830217300532556</x:v>
      </x:c>
      <x:c r="D86" s="9" t="n">
        <x:v>1.583021730053256</x:v>
      </x:c>
      <x:c r="E86" t="n">
        <x:f>IF(AND(ISNUMBER(C86),ISNUMBER(D86)),ABS(C86-D86),"")</x:f>
        <x:v>4.440892098500626e-16</x:v>
      </x:c>
      <x:c r="F86" t="str">
        <x:f>IF(AND(ISNUMBER(C86),ISNUMBER(D86)),IF(E86&lt;=TOL*MAX(1,ABS(D86)),"OK","DIVERGENTE"),IF(C86=D86,"OK (não calculado: "&amp;C86&amp;")","DIVERGENTE"))</x:f>
        <x:v>OK</x:v>
      </x:c>
    </x:row>
    <x:row r="87">
      <x:c r="A87" t="inlineStr">
        <x:is>
          <x:t xml:space="preserve">Liquidez corrente</x:t>
        </x:is>
      </x:c>
      <x:c r="B87" t="n">
        <x:v>2</x:v>
      </x:c>
      <x:c r="C87" s="9" t="n">
        <x:f>KPIs!E9</x:f>
        <x:v>1.0514787340372858</x:v>
      </x:c>
      <x:c r="D87" s="9" t="n">
        <x:v>1.051478734037286</x:v>
      </x:c>
      <x:c r="E87" t="n">
        <x:f>IF(AND(ISNUMBER(C87),ISNUMBER(D87)),ABS(C87-D87),"")</x:f>
        <x:v>2.220446049250313e-16</x:v>
      </x:c>
      <x:c r="F87" t="str">
        <x:f>IF(AND(ISNUMBER(C87),ISNUMBER(D87)),IF(E87&lt;=TOL*MAX(1,ABS(D87)),"OK","DIVERGENTE"),IF(C87=D87,"OK (não calculado: "&amp;C87&amp;")","DIVERGENTE"))</x:f>
        <x:v>OK</x:v>
      </x:c>
    </x:row>
    <x:row r="88">
      <x:c r="A88" t="inlineStr">
        <x:is>
          <x:t xml:space="preserve">Liquidez corrente</x:t>
        </x:is>
      </x:c>
      <x:c r="B88" t="n">
        <x:v>3</x:v>
      </x:c>
      <x:c r="C88" s="9" t="n">
        <x:f>KPIs!F9</x:f>
        <x:v>1.2173362516246666</x:v>
      </x:c>
      <x:c r="D88" s="9" t="n">
        <x:v>1.217336251624667</x:v>
      </x:c>
      <x:c r="E88" t="n">
        <x:f>IF(AND(ISNUMBER(C88),ISNUMBER(D88)),ABS(C88-D88),"")</x:f>
        <x:v>4.440892098500626e-16</x:v>
      </x:c>
      <x:c r="F88" t="str">
        <x:f>IF(AND(ISNUMBER(C88),ISNUMBER(D88)),IF(E88&lt;=TOL*MAX(1,ABS(D88)),"OK","DIVERGENTE"),IF(C88=D88,"OK (não calculado: "&amp;C88&amp;")","DIVERGENTE"))</x:f>
        <x:v>OK</x:v>
      </x:c>
    </x:row>
    <x:row r="89">
      <x:c r="A89" t="inlineStr">
        <x:is>
          <x:t xml:space="preserve">Liquidez corrente</x:t>
        </x:is>
      </x:c>
      <x:c r="B89" t="n">
        <x:v>4</x:v>
      </x:c>
      <x:c r="C89" s="9" t="n">
        <x:f>KPIs!G9</x:f>
        <x:v>3.040269020275239</x:v>
      </x:c>
      <x:c r="D89" s="9" t="n">
        <x:v>3.040269020275239</x:v>
      </x:c>
      <x:c r="E89" t="n">
        <x:f>IF(AND(ISNUMBER(C89),ISNUMBER(D89)),ABS(C89-D89),"")</x:f>
        <x:v>0</x:v>
      </x:c>
      <x:c r="F89" t="str">
        <x:f>IF(AND(ISNUMBER(C89),ISNUMBER(D89)),IF(E89&lt;=TOL*MAX(1,ABS(D89)),"OK","DIVERGENTE"),IF(C89=D89,"OK (não calculado: "&amp;C89&amp;")","DIVERGENTE"))</x:f>
        <x:v>OK</x:v>
      </x:c>
    </x:row>
    <x:row r="90">
      <x:c r="A90" t="inlineStr">
        <x:is>
          <x:t xml:space="preserve">Liquidez corrente</x:t>
        </x:is>
      </x:c>
      <x:c r="B90" t="n">
        <x:v>5</x:v>
      </x:c>
      <x:c r="C90" s="9" t="str">
        <x:f>KPIs!H9</x:f>
        <x:v>pendente: PC com sinal positivo</x:v>
      </x:c>
      <x:c r="D90" s="9" t="inlineStr">
        <x:is>
          <x:t xml:space="preserve">pendente: PC com sinal positivo</x:t>
        </x:is>
      </x:c>
      <x:c r="E90" t="str">
        <x:f>IF(AND(ISNUMBER(C90),ISNUMBER(D90)),ABS(C90-D90),"")</x:f>
      </x:c>
      <x:c r="F90" t="str">
        <x:f>IF(AND(ISNUMBER(C90),ISNUMBER(D90)),IF(E90&lt;=TOL*MAX(1,ABS(D90)),"OK","DIVERGENTE"),IF(C90=D90,"OK (não calculado: "&amp;C90&amp;")","DIVERGENTE"))</x:f>
        <x:v>OK (não calculado: pendente: PC com sinal positivo)</x:v>
      </x:c>
    </x:row>
    <x:row r="91">
      <x:c r="A91" t="inlineStr">
        <x:is>
          <x:t xml:space="preserve">Liquidez corrente</x:t>
        </x:is>
      </x:c>
      <x:c r="B91" t="n">
        <x:v>6</x:v>
      </x:c>
      <x:c r="C91" s="9" t="str">
        <x:f>KPIs!I9</x:f>
        <x:v>pendente: PC com sinal positivo</x:v>
      </x:c>
      <x:c r="D91" s="9" t="inlineStr">
        <x:is>
          <x:t xml:space="preserve">pendente: PC com sinal positivo</x:t>
        </x:is>
      </x:c>
      <x:c r="E91" t="str">
        <x:f>IF(AND(ISNUMBER(C91),ISNUMBER(D91)),ABS(C91-D91),"")</x:f>
      </x:c>
      <x:c r="F91" t="str">
        <x:f>IF(AND(ISNUMBER(C91),ISNUMBER(D91)),IF(E91&lt;=TOL*MAX(1,ABS(D91)),"OK","DIVERGENTE"),IF(C91=D91,"OK (não calculado: "&amp;C91&amp;")","DIVERGENTE"))</x:f>
        <x:v>OK (não calculado: pendente: PC com sinal positivo)</x:v>
      </x:c>
    </x:row>
    <x:row r="92">
      <x:c r="A92" t="inlineStr">
        <x:is>
          <x:t xml:space="preserve">Liquidez corrente</x:t>
        </x:is>
      </x:c>
      <x:c r="B92" t="n">
        <x:v>7</x:v>
      </x:c>
      <x:c r="C92" s="9" t="str">
        <x:f>KPIs!J9</x:f>
        <x:v>pendente: PC com sinal positivo</x:v>
      </x:c>
      <x:c r="D92" s="9" t="inlineStr">
        <x:is>
          <x:t xml:space="preserve">pendente: PC com sinal positivo</x:t>
        </x:is>
      </x:c>
      <x:c r="E92" t="str">
        <x:f>IF(AND(ISNUMBER(C92),ISNUMBER(D92)),ABS(C92-D92),"")</x:f>
      </x:c>
      <x:c r="F92" t="str">
        <x:f>IF(AND(ISNUMBER(C92),ISNUMBER(D92)),IF(E92&lt;=TOL*MAX(1,ABS(D92)),"OK","DIVERGENTE"),IF(C92=D92,"OK (não calculado: "&amp;C92&amp;")","DIVERGENTE"))</x:f>
        <x:v>OK (não calculado: pendente: PC com sinal positivo)</x:v>
      </x:c>
    </x:row>
    <x:row r="93">
      <x:c r="A93" t="inlineStr">
        <x:is>
          <x:t xml:space="preserve">Liquidez corrente</x:t>
        </x:is>
      </x:c>
      <x:c r="B93" t="n">
        <x:v>8</x:v>
      </x:c>
      <x:c r="C93" s="9" t="str">
        <x:f>KPIs!K9</x:f>
        <x:v>pendente: PC com sinal positivo</x:v>
      </x:c>
      <x:c r="D93" s="9" t="inlineStr">
        <x:is>
          <x:t xml:space="preserve">pendente: PC com sinal positivo</x:t>
        </x:is>
      </x:c>
      <x:c r="E93" t="str">
        <x:f>IF(AND(ISNUMBER(C93),ISNUMBER(D93)),ABS(C93-D93),"")</x:f>
      </x:c>
      <x:c r="F93" t="str">
        <x:f>IF(AND(ISNUMBER(C93),ISNUMBER(D93)),IF(E93&lt;=TOL*MAX(1,ABS(D93)),"OK","DIVERGENTE"),IF(C93=D93,"OK (não calculado: "&amp;C93&amp;")","DIVERGENTE"))</x:f>
        <x:v>OK (não calculado: pendente: PC com sinal positivo)</x:v>
      </x:c>
    </x:row>
    <x:row r="94">
      <x:c r="A94" t="inlineStr">
        <x:is>
          <x:t xml:space="preserve">Liquidez corrente</x:t>
        </x:is>
      </x:c>
      <x:c r="B94" t="n">
        <x:v>9</x:v>
      </x:c>
      <x:c r="C94" s="9" t="str">
        <x:f>KPIs!L9</x:f>
        <x:v>pendente: PC com sinal positivo</x:v>
      </x:c>
      <x:c r="D94" s="9" t="inlineStr">
        <x:is>
          <x:t xml:space="preserve">pendente: PC com sinal positivo</x:t>
        </x:is>
      </x:c>
      <x:c r="E94" t="str">
        <x:f>IF(AND(ISNUMBER(C94),ISNUMBER(D94)),ABS(C94-D94),"")</x:f>
      </x:c>
      <x:c r="F94" t="str">
        <x:f>IF(AND(ISNUMBER(C94),ISNUMBER(D94)),IF(E94&lt;=TOL*MAX(1,ABS(D94)),"OK","DIVERGENTE"),IF(C94=D94,"OK (não calculado: "&amp;C94&amp;")","DIVERGENTE"))</x:f>
        <x:v>OK (não calculado: pendente: PC com sinal positivo)</x:v>
      </x:c>
    </x:row>
    <x:row r="95">
      <x:c r="A95" t="inlineStr">
        <x:is>
          <x:t xml:space="preserve">Liquidez corrente</x:t>
        </x:is>
      </x:c>
      <x:c r="B95" t="n">
        <x:v>10</x:v>
      </x:c>
      <x:c r="C95" s="9" t="str">
        <x:f>KPIs!M9</x:f>
        <x:v>pendente: PC com sinal positivo</x:v>
      </x:c>
      <x:c r="D95" s="9" t="inlineStr">
        <x:is>
          <x:t xml:space="preserve">pendente: PC com sinal positivo</x:t>
        </x:is>
      </x:c>
      <x:c r="E95" t="str">
        <x:f>IF(AND(ISNUMBER(C95),ISNUMBER(D95)),ABS(C95-D95),"")</x:f>
      </x:c>
      <x:c r="F95" t="str">
        <x:f>IF(AND(ISNUMBER(C95),ISNUMBER(D95)),IF(E95&lt;=TOL*MAX(1,ABS(D95)),"OK","DIVERGENTE"),IF(C95=D95,"OK (não calculado: "&amp;C95&amp;")","DIVERGENTE"))</x:f>
        <x:v>OK (não calculado: pendente: PC com sinal positivo)</x:v>
      </x:c>
    </x:row>
    <x:row r="96">
      <x:c r="A96" t="inlineStr">
        <x:is>
          <x:t xml:space="preserve">Liquidez corrente</x:t>
        </x:is>
      </x:c>
      <x:c r="B96" t="n">
        <x:v>11</x:v>
      </x:c>
      <x:c r="C96" s="9" t="str">
        <x:f>KPIs!N9</x:f>
        <x:v>pendente: PC com sinal positivo</x:v>
      </x:c>
      <x:c r="D96" s="9" t="inlineStr">
        <x:is>
          <x:t xml:space="preserve">pendente: PC com sinal positivo</x:t>
        </x:is>
      </x:c>
      <x:c r="E96" t="str">
        <x:f>IF(AND(ISNUMBER(C96),ISNUMBER(D96)),ABS(C96-D96),"")</x:f>
      </x:c>
      <x:c r="F96" t="str">
        <x:f>IF(AND(ISNUMBER(C96),ISNUMBER(D96)),IF(E96&lt;=TOL*MAX(1,ABS(D96)),"OK","DIVERGENTE"),IF(C96=D96,"OK (não calculado: "&amp;C96&amp;")","DIVERGENTE"))</x:f>
        <x:v>OK (não calculado: pendente: PC com sinal positivo)</x:v>
      </x:c>
    </x:row>
    <x:row r="97">
      <x:c r="A97" t="inlineStr">
        <x:is>
          <x:t xml:space="preserve">Liquidez corrente</x:t>
        </x:is>
      </x:c>
      <x:c r="B97" t="n">
        <x:v>12</x:v>
      </x:c>
      <x:c r="C97" s="9" t="n">
        <x:f>KPIs!O9</x:f>
        <x:v>18.719243158546472</x:v>
      </x:c>
      <x:c r="D97" s="9" t="n">
        <x:v>18.71924315854648</x:v>
      </x:c>
      <x:c r="E97" t="n">
        <x:f>IF(AND(ISNUMBER(C97),ISNUMBER(D97)),ABS(C97-D97),"")</x:f>
        <x:v>7.105427357601002e-15</x:v>
      </x:c>
      <x:c r="F97" t="str">
        <x:f>IF(AND(ISNUMBER(C97),ISNUMBER(D97)),IF(E97&lt;=TOL*MAX(1,ABS(D97)),"OK","DIVERGENTE"),IF(C97=D97,"OK (não calculado: "&amp;C97&amp;")","DIVERGENTE"))</x:f>
        <x:v>OK</x:v>
      </x:c>
    </x:row>
    <x:row r="98">
      <x:c r="A98" t="inlineStr">
        <x:is>
          <x:t xml:space="preserve">Liquidez seca</x:t>
        </x:is>
      </x:c>
      <x:c r="B98" t="n">
        <x:v>1</x:v>
      </x:c>
      <x:c r="C98" s="9" t="n">
        <x:f>KPIs!D10</x:f>
        <x:v>1.5829415684160808</x:v>
      </x:c>
      <x:c r="D98" s="9" t="n">
        <x:v>1.582941568416082</x:v>
      </x:c>
      <x:c r="E98" t="n">
        <x:f>IF(AND(ISNUMBER(C98),ISNUMBER(D98)),ABS(C98-D98),"")</x:f>
        <x:v>1.1102230246251565e-15</x:v>
      </x:c>
      <x:c r="F98" t="str">
        <x:f>IF(AND(ISNUMBER(C98),ISNUMBER(D98)),IF(E98&lt;=TOL*MAX(1,ABS(D98)),"OK","DIVERGENTE"),IF(C98=D98,"OK (não calculado: "&amp;C98&amp;")","DIVERGENTE"))</x:f>
        <x:v>OK</x:v>
      </x:c>
    </x:row>
    <x:row r="99">
      <x:c r="A99" t="inlineStr">
        <x:is>
          <x:t xml:space="preserve">Liquidez seca</x:t>
        </x:is>
      </x:c>
      <x:c r="B99" t="n">
        <x:v>2</x:v>
      </x:c>
      <x:c r="C99" s="9" t="n">
        <x:f>KPIs!E10</x:f>
        <x:v>1.0514148492846451</x:v>
      </x:c>
      <x:c r="D99" s="9" t="n">
        <x:v>1.051414849284645</x:v>
      </x:c>
      <x:c r="E99" t="n">
        <x:f>IF(AND(ISNUMBER(C99),ISNUMBER(D99)),ABS(C99-D99),"")</x:f>
        <x:v>2.220446049250313e-16</x:v>
      </x:c>
      <x:c r="F99" t="str">
        <x:f>IF(AND(ISNUMBER(C99),ISNUMBER(D99)),IF(E99&lt;=TOL*MAX(1,ABS(D99)),"OK","DIVERGENTE"),IF(C99=D99,"OK (não calculado: "&amp;C99&amp;")","DIVERGENTE"))</x:f>
        <x:v>OK</x:v>
      </x:c>
    </x:row>
    <x:row r="100">
      <x:c r="A100" t="inlineStr">
        <x:is>
          <x:t xml:space="preserve">Liquidez seca</x:t>
        </x:is>
      </x:c>
      <x:c r="B100" t="n">
        <x:v>3</x:v>
      </x:c>
      <x:c r="C100" s="9" t="n">
        <x:f>KPIs!F10</x:f>
        <x:v>1.2172869453320059</x:v>
      </x:c>
      <x:c r="D100" s="9" t="n">
        <x:v>1.217286945332006</x:v>
      </x:c>
      <x:c r="E100" t="n">
        <x:f>IF(AND(ISNUMBER(C100),ISNUMBER(D100)),ABS(C100-D100),"")</x:f>
        <x:v>2.220446049250313e-16</x:v>
      </x:c>
      <x:c r="F100" t="str">
        <x:f>IF(AND(ISNUMBER(C100),ISNUMBER(D100)),IF(E100&lt;=TOL*MAX(1,ABS(D100)),"OK","DIVERGENTE"),IF(C100=D100,"OK (não calculado: "&amp;C100&amp;")","DIVERGENTE"))</x:f>
        <x:v>OK</x:v>
      </x:c>
    </x:row>
    <x:row r="101">
      <x:c r="A101" t="inlineStr">
        <x:is>
          <x:t xml:space="preserve">Liquidez seca</x:t>
        </x:is>
      </x:c>
      <x:c r="B101" t="n">
        <x:v>4</x:v>
      </x:c>
      <x:c r="C101" s="9" t="n">
        <x:f>KPIs!G10</x:f>
        <x:v>3.0400945749753157</x:v>
      </x:c>
      <x:c r="D101" s="9" t="n">
        <x:v>3.040094574975315</x:v>
      </x:c>
      <x:c r="E101" t="n">
        <x:f>IF(AND(ISNUMBER(C101),ISNUMBER(D101)),ABS(C101-D101),"")</x:f>
        <x:v>4.440892098500626e-16</x:v>
      </x:c>
      <x:c r="F101" t="str">
        <x:f>IF(AND(ISNUMBER(C101),ISNUMBER(D101)),IF(E101&lt;=TOL*MAX(1,ABS(D101)),"OK","DIVERGENTE"),IF(C101=D101,"OK (não calculado: "&amp;C101&amp;")","DIVERGENTE"))</x:f>
        <x:v>OK</x:v>
      </x:c>
    </x:row>
    <x:row r="102">
      <x:c r="A102" t="inlineStr">
        <x:is>
          <x:t xml:space="preserve">Liquidez seca</x:t>
        </x:is>
      </x:c>
      <x:c r="B102" t="n">
        <x:v>5</x:v>
      </x:c>
      <x:c r="C102" s="9" t="str">
        <x:f>KPIs!H10</x:f>
        <x:v>pendente: PC com sinal positivo</x:v>
      </x:c>
      <x:c r="D102" s="9" t="inlineStr">
        <x:is>
          <x:t xml:space="preserve">pendente: PC com sinal positivo</x:t>
        </x:is>
      </x:c>
      <x:c r="E102" t="str">
        <x:f>IF(AND(ISNUMBER(C102),ISNUMBER(D102)),ABS(C102-D102),"")</x:f>
      </x:c>
      <x:c r="F102" t="str">
        <x:f>IF(AND(ISNUMBER(C102),ISNUMBER(D102)),IF(E102&lt;=TOL*MAX(1,ABS(D102)),"OK","DIVERGENTE"),IF(C102=D102,"OK (não calculado: "&amp;C102&amp;")","DIVERGENTE"))</x:f>
        <x:v>OK (não calculado: pendente: PC com sinal positivo)</x:v>
      </x:c>
    </x:row>
    <x:row r="103">
      <x:c r="A103" t="inlineStr">
        <x:is>
          <x:t xml:space="preserve">Liquidez seca</x:t>
        </x:is>
      </x:c>
      <x:c r="B103" t="n">
        <x:v>6</x:v>
      </x:c>
      <x:c r="C103" s="9" t="str">
        <x:f>KPIs!I10</x:f>
        <x:v>pendente: PC com sinal positivo</x:v>
      </x:c>
      <x:c r="D103" s="9" t="inlineStr">
        <x:is>
          <x:t xml:space="preserve">pendente: PC com sinal positivo</x:t>
        </x:is>
      </x:c>
      <x:c r="E103" t="str">
        <x:f>IF(AND(ISNUMBER(C103),ISNUMBER(D103)),ABS(C103-D103),"")</x:f>
      </x:c>
      <x:c r="F103" t="str">
        <x:f>IF(AND(ISNUMBER(C103),ISNUMBER(D103)),IF(E103&lt;=TOL*MAX(1,ABS(D103)),"OK","DIVERGENTE"),IF(C103=D103,"OK (não calculado: "&amp;C103&amp;")","DIVERGENTE"))</x:f>
        <x:v>OK (não calculado: pendente: PC com sinal positivo)</x:v>
      </x:c>
    </x:row>
    <x:row r="104">
      <x:c r="A104" t="inlineStr">
        <x:is>
          <x:t xml:space="preserve">Liquidez seca</x:t>
        </x:is>
      </x:c>
      <x:c r="B104" t="n">
        <x:v>7</x:v>
      </x:c>
      <x:c r="C104" s="9" t="str">
        <x:f>KPIs!J10</x:f>
        <x:v>pendente: PC com sinal positivo</x:v>
      </x:c>
      <x:c r="D104" s="9" t="inlineStr">
        <x:is>
          <x:t xml:space="preserve">pendente: PC com sinal positivo</x:t>
        </x:is>
      </x:c>
      <x:c r="E104" t="str">
        <x:f>IF(AND(ISNUMBER(C104),ISNUMBER(D104)),ABS(C104-D104),"")</x:f>
      </x:c>
      <x:c r="F104" t="str">
        <x:f>IF(AND(ISNUMBER(C104),ISNUMBER(D104)),IF(E104&lt;=TOL*MAX(1,ABS(D104)),"OK","DIVERGENTE"),IF(C104=D104,"OK (não calculado: "&amp;C104&amp;")","DIVERGENTE"))</x:f>
        <x:v>OK (não calculado: pendente: PC com sinal positivo)</x:v>
      </x:c>
    </x:row>
    <x:row r="105">
      <x:c r="A105" t="inlineStr">
        <x:is>
          <x:t xml:space="preserve">Liquidez seca</x:t>
        </x:is>
      </x:c>
      <x:c r="B105" t="n">
        <x:v>8</x:v>
      </x:c>
      <x:c r="C105" s="9" t="str">
        <x:f>KPIs!K10</x:f>
        <x:v>pendente: PC com sinal positivo</x:v>
      </x:c>
      <x:c r="D105" s="9" t="inlineStr">
        <x:is>
          <x:t xml:space="preserve">pendente: PC com sinal positivo</x:t>
        </x:is>
      </x:c>
      <x:c r="E105" t="str">
        <x:f>IF(AND(ISNUMBER(C105),ISNUMBER(D105)),ABS(C105-D105),"")</x:f>
      </x:c>
      <x:c r="F105" t="str">
        <x:f>IF(AND(ISNUMBER(C105),ISNUMBER(D105)),IF(E105&lt;=TOL*MAX(1,ABS(D105)),"OK","DIVERGENTE"),IF(C105=D105,"OK (não calculado: "&amp;C105&amp;")","DIVERGENTE"))</x:f>
        <x:v>OK (não calculado: pendente: PC com sinal positivo)</x:v>
      </x:c>
    </x:row>
    <x:row r="106">
      <x:c r="A106" t="inlineStr">
        <x:is>
          <x:t xml:space="preserve">Liquidez seca</x:t>
        </x:is>
      </x:c>
      <x:c r="B106" t="n">
        <x:v>9</x:v>
      </x:c>
      <x:c r="C106" s="9" t="str">
        <x:f>KPIs!L10</x:f>
        <x:v>pendente: PC com sinal positivo</x:v>
      </x:c>
      <x:c r="D106" s="9" t="inlineStr">
        <x:is>
          <x:t xml:space="preserve">pendente: PC com sinal positivo</x:t>
        </x:is>
      </x:c>
      <x:c r="E106" t="str">
        <x:f>IF(AND(ISNUMBER(C106),ISNUMBER(D106)),ABS(C106-D106),"")</x:f>
      </x:c>
      <x:c r="F106" t="str">
        <x:f>IF(AND(ISNUMBER(C106),ISNUMBER(D106)),IF(E106&lt;=TOL*MAX(1,ABS(D106)),"OK","DIVERGENTE"),IF(C106=D106,"OK (não calculado: "&amp;C106&amp;")","DIVERGENTE"))</x:f>
        <x:v>OK (não calculado: pendente: PC com sinal positivo)</x:v>
      </x:c>
    </x:row>
    <x:row r="107">
      <x:c r="A107" t="inlineStr">
        <x:is>
          <x:t xml:space="preserve">Liquidez seca</x:t>
        </x:is>
      </x:c>
      <x:c r="B107" t="n">
        <x:v>10</x:v>
      </x:c>
      <x:c r="C107" s="9" t="str">
        <x:f>KPIs!M10</x:f>
        <x:v>pendente: PC com sinal positivo</x:v>
      </x:c>
      <x:c r="D107" s="9" t="inlineStr">
        <x:is>
          <x:t xml:space="preserve">pendente: PC com sinal positivo</x:t>
        </x:is>
      </x:c>
      <x:c r="E107" t="str">
        <x:f>IF(AND(ISNUMBER(C107),ISNUMBER(D107)),ABS(C107-D107),"")</x:f>
      </x:c>
      <x:c r="F107" t="str">
        <x:f>IF(AND(ISNUMBER(C107),ISNUMBER(D107)),IF(E107&lt;=TOL*MAX(1,ABS(D107)),"OK","DIVERGENTE"),IF(C107=D107,"OK (não calculado: "&amp;C107&amp;")","DIVERGENTE"))</x:f>
        <x:v>OK (não calculado: pendente: PC com sinal positivo)</x:v>
      </x:c>
    </x:row>
    <x:row r="108">
      <x:c r="A108" t="inlineStr">
        <x:is>
          <x:t xml:space="preserve">Liquidez seca</x:t>
        </x:is>
      </x:c>
      <x:c r="B108" t="n">
        <x:v>11</x:v>
      </x:c>
      <x:c r="C108" s="9" t="str">
        <x:f>KPIs!N10</x:f>
        <x:v>pendente: PC com sinal positivo</x:v>
      </x:c>
      <x:c r="D108" s="9" t="inlineStr">
        <x:is>
          <x:t xml:space="preserve">pendente: PC com sinal positivo</x:t>
        </x:is>
      </x:c>
      <x:c r="E108" t="str">
        <x:f>IF(AND(ISNUMBER(C108),ISNUMBER(D108)),ABS(C108-D108),"")</x:f>
      </x:c>
      <x:c r="F108" t="str">
        <x:f>IF(AND(ISNUMBER(C108),ISNUMBER(D108)),IF(E108&lt;=TOL*MAX(1,ABS(D108)),"OK","DIVERGENTE"),IF(C108=D108,"OK (não calculado: "&amp;C108&amp;")","DIVERGENTE"))</x:f>
        <x:v>OK (não calculado: pendente: PC com sinal positivo)</x:v>
      </x:c>
    </x:row>
    <x:row r="109">
      <x:c r="A109" t="inlineStr">
        <x:is>
          <x:t xml:space="preserve">Liquidez seca</x:t>
        </x:is>
      </x:c>
      <x:c r="B109" t="n">
        <x:v>12</x:v>
      </x:c>
      <x:c r="C109" s="9" t="str">
        <x:f>KPIs!O10</x:f>
        <x:v>indisponível: conta ausente</x:v>
      </x:c>
      <x:c r="D109" s="9" t="inlineStr">
        <x:is>
          <x:t xml:space="preserve">indisponível: conta ausente</x:t>
        </x:is>
      </x:c>
      <x:c r="E109" t="str">
        <x:f>IF(AND(ISNUMBER(C109),ISNUMBER(D109)),ABS(C109-D109),"")</x:f>
      </x:c>
      <x:c r="F109" t="str">
        <x:f>IF(AND(ISNUMBER(C109),ISNUMBER(D109)),IF(E109&lt;=TOL*MAX(1,ABS(D109)),"OK","DIVERGENTE"),IF(C109=D109,"OK (não calculado: "&amp;C109&amp;")","DIVERGENTE"))</x:f>
        <x:v>OK (não calculado: indisponível: conta ausente)</x:v>
      </x:c>
    </x:row>
    <x:row r="110">
      <x:c r="A110" t="inlineStr">
        <x:is>
          <x:t xml:space="preserve">Liquidez imediata</x:t>
        </x:is>
      </x:c>
      <x:c r="B110" t="n">
        <x:v>1</x:v>
      </x:c>
      <x:c r="C110" s="9" t="n">
        <x:f>KPIs!D11</x:f>
        <x:v>1.0345307240984403</x:v>
      </x:c>
      <x:c r="D110" s="9" t="n">
        <x:v>1.034530724098441</x:v>
      </x:c>
      <x:c r="E110" t="n">
        <x:f>IF(AND(ISNUMBER(C110),ISNUMBER(D110)),ABS(C110-D110),"")</x:f>
        <x:v>6.661338147750939e-16</x:v>
      </x:c>
      <x:c r="F110" t="str">
        <x:f>IF(AND(ISNUMBER(C110),ISNUMBER(D110)),IF(E110&lt;=TOL*MAX(1,ABS(D110)),"OK","DIVERGENTE"),IF(C110=D110,"OK (não calculado: "&amp;C110&amp;")","DIVERGENTE"))</x:f>
        <x:v>OK</x:v>
      </x:c>
    </x:row>
    <x:row r="111">
      <x:c r="A111" t="inlineStr">
        <x:is>
          <x:t xml:space="preserve">Liquidez imediata</x:t>
        </x:is>
      </x:c>
      <x:c r="B111" t="n">
        <x:v>2</x:v>
      </x:c>
      <x:c r="C111" s="9" t="n">
        <x:f>KPIs!E11</x:f>
        <x:v>0.6472056132110163</x:v>
      </x:c>
      <x:c r="D111" s="9" t="n">
        <x:v>0.6472056132110163</x:v>
      </x:c>
      <x:c r="E111" t="n">
        <x:f>IF(AND(ISNUMBER(C111),ISNUMBER(D111)),ABS(C111-D111),"")</x:f>
        <x:v>0</x:v>
      </x:c>
      <x:c r="F111" t="str">
        <x:f>IF(AND(ISNUMBER(C111),ISNUMBER(D111)),IF(E111&lt;=TOL*MAX(1,ABS(D111)),"OK","DIVERGENTE"),IF(C111=D111,"OK (não calculado: "&amp;C111&amp;")","DIVERGENTE"))</x:f>
        <x:v>OK</x:v>
      </x:c>
    </x:row>
    <x:row r="112">
      <x:c r="A112" t="inlineStr">
        <x:is>
          <x:t xml:space="preserve">Liquidez imediata</x:t>
        </x:is>
      </x:c>
      <x:c r="B112" t="n">
        <x:v>3</x:v>
      </x:c>
      <x:c r="C112" s="9" t="n">
        <x:f>KPIs!F11</x:f>
        <x:v>0.9054769389678645</x:v>
      </x:c>
      <x:c r="D112" s="9" t="n">
        <x:v>0.9054769389678645</x:v>
      </x:c>
      <x:c r="E112" t="n">
        <x:f>IF(AND(ISNUMBER(C112),ISNUMBER(D112)),ABS(C112-D112),"")</x:f>
        <x:v>0</x:v>
      </x:c>
      <x:c r="F112" t="str">
        <x:f>IF(AND(ISNUMBER(C112),ISNUMBER(D112)),IF(E112&lt;=TOL*MAX(1,ABS(D112)),"OK","DIVERGENTE"),IF(C112=D112,"OK (não calculado: "&amp;C112&amp;")","DIVERGENTE"))</x:f>
        <x:v>OK</x:v>
      </x:c>
    </x:row>
    <x:row r="113">
      <x:c r="A113" t="inlineStr">
        <x:is>
          <x:t xml:space="preserve">Liquidez imediata</x:t>
        </x:is>
      </x:c>
      <x:c r="B113" t="n">
        <x:v>4</x:v>
      </x:c>
      <x:c r="C113" s="9" t="n">
        <x:f>KPIs!G11</x:f>
        <x:v>1.946275178146159</x:v>
      </x:c>
      <x:c r="D113" s="9" t="n">
        <x:v>1.946275178146159</x:v>
      </x:c>
      <x:c r="E113" t="n">
        <x:f>IF(AND(ISNUMBER(C113),ISNUMBER(D113)),ABS(C113-D113),"")</x:f>
        <x:v>0</x:v>
      </x:c>
      <x:c r="F113" t="str">
        <x:f>IF(AND(ISNUMBER(C113),ISNUMBER(D113)),IF(E113&lt;=TOL*MAX(1,ABS(D113)),"OK","DIVERGENTE"),IF(C113=D113,"OK (não calculado: "&amp;C113&amp;")","DIVERGENTE"))</x:f>
        <x:v>OK</x:v>
      </x:c>
    </x:row>
    <x:row r="114">
      <x:c r="A114" t="inlineStr">
        <x:is>
          <x:t xml:space="preserve">Liquidez imediata</x:t>
        </x:is>
      </x:c>
      <x:c r="B114" t="n">
        <x:v>5</x:v>
      </x:c>
      <x:c r="C114" s="9" t="str">
        <x:f>KPIs!H11</x:f>
        <x:v>pendente: PC com sinal positivo</x:v>
      </x:c>
      <x:c r="D114" s="9" t="inlineStr">
        <x:is>
          <x:t xml:space="preserve">pendente: PC com sinal positivo</x:t>
        </x:is>
      </x:c>
      <x:c r="E114" t="str">
        <x:f>IF(AND(ISNUMBER(C114),ISNUMBER(D114)),ABS(C114-D114),"")</x:f>
      </x:c>
      <x:c r="F114" t="str">
        <x:f>IF(AND(ISNUMBER(C114),ISNUMBER(D114)),IF(E114&lt;=TOL*MAX(1,ABS(D114)),"OK","DIVERGENTE"),IF(C114=D114,"OK (não calculado: "&amp;C114&amp;")","DIVERGENTE"))</x:f>
        <x:v>OK (não calculado: pendente: PC com sinal positivo)</x:v>
      </x:c>
    </x:row>
    <x:row r="115">
      <x:c r="A115" t="inlineStr">
        <x:is>
          <x:t xml:space="preserve">Liquidez imediata</x:t>
        </x:is>
      </x:c>
      <x:c r="B115" t="n">
        <x:v>6</x:v>
      </x:c>
      <x:c r="C115" s="9" t="str">
        <x:f>KPIs!I11</x:f>
        <x:v>pendente: PC com sinal positivo</x:v>
      </x:c>
      <x:c r="D115" s="9" t="inlineStr">
        <x:is>
          <x:t xml:space="preserve">pendente: PC com sinal positivo</x:t>
        </x:is>
      </x:c>
      <x:c r="E115" t="str">
        <x:f>IF(AND(ISNUMBER(C115),ISNUMBER(D115)),ABS(C115-D115),"")</x:f>
      </x:c>
      <x:c r="F115" t="str">
        <x:f>IF(AND(ISNUMBER(C115),ISNUMBER(D115)),IF(E115&lt;=TOL*MAX(1,ABS(D115)),"OK","DIVERGENTE"),IF(C115=D115,"OK (não calculado: "&amp;C115&amp;")","DIVERGENTE"))</x:f>
        <x:v>OK (não calculado: pendente: PC com sinal positivo)</x:v>
      </x:c>
    </x:row>
    <x:row r="116">
      <x:c r="A116" t="inlineStr">
        <x:is>
          <x:t xml:space="preserve">Liquidez imediata</x:t>
        </x:is>
      </x:c>
      <x:c r="B116" t="n">
        <x:v>7</x:v>
      </x:c>
      <x:c r="C116" s="9" t="str">
        <x:f>KPIs!J11</x:f>
        <x:v>pendente: PC com sinal positivo</x:v>
      </x:c>
      <x:c r="D116" s="9" t="inlineStr">
        <x:is>
          <x:t xml:space="preserve">pendente: PC com sinal positivo</x:t>
        </x:is>
      </x:c>
      <x:c r="E116" t="str">
        <x:f>IF(AND(ISNUMBER(C116),ISNUMBER(D116)),ABS(C116-D116),"")</x:f>
      </x:c>
      <x:c r="F116" t="str">
        <x:f>IF(AND(ISNUMBER(C116),ISNUMBER(D116)),IF(E116&lt;=TOL*MAX(1,ABS(D116)),"OK","DIVERGENTE"),IF(C116=D116,"OK (não calculado: "&amp;C116&amp;")","DIVERGENTE"))</x:f>
        <x:v>OK (não calculado: pendente: PC com sinal positivo)</x:v>
      </x:c>
    </x:row>
    <x:row r="117">
      <x:c r="A117" t="inlineStr">
        <x:is>
          <x:t xml:space="preserve">Liquidez imediata</x:t>
        </x:is>
      </x:c>
      <x:c r="B117" t="n">
        <x:v>8</x:v>
      </x:c>
      <x:c r="C117" s="9" t="str">
        <x:f>KPIs!K11</x:f>
        <x:v>pendente: PC com sinal positivo</x:v>
      </x:c>
      <x:c r="D117" s="9" t="inlineStr">
        <x:is>
          <x:t xml:space="preserve">pendente: PC com sinal positivo</x:t>
        </x:is>
      </x:c>
      <x:c r="E117" t="str">
        <x:f>IF(AND(ISNUMBER(C117),ISNUMBER(D117)),ABS(C117-D117),"")</x:f>
      </x:c>
      <x:c r="F117" t="str">
        <x:f>IF(AND(ISNUMBER(C117),ISNUMBER(D117)),IF(E117&lt;=TOL*MAX(1,ABS(D117)),"OK","DIVERGENTE"),IF(C117=D117,"OK (não calculado: "&amp;C117&amp;")","DIVERGENTE"))</x:f>
        <x:v>OK (não calculado: pendente: PC com sinal positivo)</x:v>
      </x:c>
    </x:row>
    <x:row r="118">
      <x:c r="A118" t="inlineStr">
        <x:is>
          <x:t xml:space="preserve">Liquidez imediata</x:t>
        </x:is>
      </x:c>
      <x:c r="B118" t="n">
        <x:v>9</x:v>
      </x:c>
      <x:c r="C118" s="9" t="str">
        <x:f>KPIs!L11</x:f>
        <x:v>pendente: PC com sinal positivo</x:v>
      </x:c>
      <x:c r="D118" s="9" t="inlineStr">
        <x:is>
          <x:t xml:space="preserve">pendente: PC com sinal positivo</x:t>
        </x:is>
      </x:c>
      <x:c r="E118" t="str">
        <x:f>IF(AND(ISNUMBER(C118),ISNUMBER(D118)),ABS(C118-D118),"")</x:f>
      </x:c>
      <x:c r="F118" t="str">
        <x:f>IF(AND(ISNUMBER(C118),ISNUMBER(D118)),IF(E118&lt;=TOL*MAX(1,ABS(D118)),"OK","DIVERGENTE"),IF(C118=D118,"OK (não calculado: "&amp;C118&amp;")","DIVERGENTE"))</x:f>
        <x:v>OK (não calculado: pendente: PC com sinal positivo)</x:v>
      </x:c>
    </x:row>
    <x:row r="119">
      <x:c r="A119" t="inlineStr">
        <x:is>
          <x:t xml:space="preserve">Liquidez imediata</x:t>
        </x:is>
      </x:c>
      <x:c r="B119" t="n">
        <x:v>10</x:v>
      </x:c>
      <x:c r="C119" s="9" t="str">
        <x:f>KPIs!M11</x:f>
        <x:v>pendente: PC com sinal positivo</x:v>
      </x:c>
      <x:c r="D119" s="9" t="inlineStr">
        <x:is>
          <x:t xml:space="preserve">pendente: PC com sinal positivo</x:t>
        </x:is>
      </x:c>
      <x:c r="E119" t="str">
        <x:f>IF(AND(ISNUMBER(C119),ISNUMBER(D119)),ABS(C119-D119),"")</x:f>
      </x:c>
      <x:c r="F119" t="str">
        <x:f>IF(AND(ISNUMBER(C119),ISNUMBER(D119)),IF(E119&lt;=TOL*MAX(1,ABS(D119)),"OK","DIVERGENTE"),IF(C119=D119,"OK (não calculado: "&amp;C119&amp;")","DIVERGENTE"))</x:f>
        <x:v>OK (não calculado: pendente: PC com sinal positivo)</x:v>
      </x:c>
    </x:row>
    <x:row r="120">
      <x:c r="A120" t="inlineStr">
        <x:is>
          <x:t xml:space="preserve">Liquidez imediata</x:t>
        </x:is>
      </x:c>
      <x:c r="B120" t="n">
        <x:v>11</x:v>
      </x:c>
      <x:c r="C120" s="9" t="str">
        <x:f>KPIs!N11</x:f>
        <x:v>pendente: PC com sinal positivo</x:v>
      </x:c>
      <x:c r="D120" s="9" t="inlineStr">
        <x:is>
          <x:t xml:space="preserve">pendente: PC com sinal positivo</x:t>
        </x:is>
      </x:c>
      <x:c r="E120" t="str">
        <x:f>IF(AND(ISNUMBER(C120),ISNUMBER(D120)),ABS(C120-D120),"")</x:f>
      </x:c>
      <x:c r="F120" t="str">
        <x:f>IF(AND(ISNUMBER(C120),ISNUMBER(D120)),IF(E120&lt;=TOL*MAX(1,ABS(D120)),"OK","DIVERGENTE"),IF(C120=D120,"OK (não calculado: "&amp;C120&amp;")","DIVERGENTE"))</x:f>
        <x:v>OK (não calculado: pendente: PC com sinal positivo)</x:v>
      </x:c>
    </x:row>
    <x:row r="121">
      <x:c r="A121" t="inlineStr">
        <x:is>
          <x:t xml:space="preserve">Liquidez imediata</x:t>
        </x:is>
      </x:c>
      <x:c r="B121" t="n">
        <x:v>12</x:v>
      </x:c>
      <x:c r="C121" s="9" t="n">
        <x:f>KPIs!O11</x:f>
        <x:v>19.853472926895776</x:v>
      </x:c>
      <x:c r="D121" s="9" t="n">
        <x:v>19.85347292689578</x:v>
      </x:c>
      <x:c r="E121" t="n">
        <x:f>IF(AND(ISNUMBER(C121),ISNUMBER(D121)),ABS(C121-D121),"")</x:f>
        <x:v>3.552713678800501e-15</x:v>
      </x:c>
      <x:c r="F121" t="str">
        <x:f>IF(AND(ISNUMBER(C121),ISNUMBER(D121)),IF(E121&lt;=TOL*MAX(1,ABS(D121)),"OK","DIVERGENTE"),IF(C121=D121,"OK (não calculado: "&amp;C121&amp;")","DIVERGENTE"))</x:f>
        <x:v>OK</x:v>
      </x:c>
    </x:row>
    <x:row r="122">
      <x:c r="A122" t="inlineStr">
        <x:is>
          <x:t xml:space="preserve">Liquidez geral</x:t>
        </x:is>
      </x:c>
      <x:c r="B122" t="n">
        <x:v>1</x:v>
      </x:c>
      <x:c r="C122" s="9" t="n">
        <x:f>KPIs!D12</x:f>
        <x:v>0.27282543630971706</x:v>
      </x:c>
      <x:c r="D122" s="9" t="n">
        <x:v>0.2728254363097171</x:v>
      </x:c>
      <x:c r="E122" t="n">
        <x:f>IF(AND(ISNUMBER(C122),ISNUMBER(D122)),ABS(C122-D122),"")</x:f>
        <x:v>5.551115123125783e-17</x:v>
      </x:c>
      <x:c r="F122" t="str">
        <x:f>IF(AND(ISNUMBER(C122),ISNUMBER(D122)),IF(E122&lt;=TOL*MAX(1,ABS(D122)),"OK","DIVERGENTE"),IF(C122=D122,"OK (não calculado: "&amp;C122&amp;")","DIVERGENTE"))</x:f>
        <x:v>OK</x:v>
      </x:c>
    </x:row>
    <x:row r="123">
      <x:c r="A123" t="inlineStr">
        <x:is>
          <x:t xml:space="preserve">Liquidez geral</x:t>
        </x:is>
      </x:c>
      <x:c r="B123" t="n">
        <x:v>2</x:v>
      </x:c>
      <x:c r="C123" s="9" t="n">
        <x:f>KPIs!E12</x:f>
        <x:v>0.2620830950836168</x:v>
      </x:c>
      <x:c r="D123" s="9" t="n">
        <x:v>0.2620830950836168</x:v>
      </x:c>
      <x:c r="E123" t="n">
        <x:f>IF(AND(ISNUMBER(C123),ISNUMBER(D123)),ABS(C123-D123),"")</x:f>
        <x:v>0</x:v>
      </x:c>
      <x:c r="F123" t="str">
        <x:f>IF(AND(ISNUMBER(C123),ISNUMBER(D123)),IF(E123&lt;=TOL*MAX(1,ABS(D123)),"OK","DIVERGENTE"),IF(C123=D123,"OK (não calculado: "&amp;C123&amp;")","DIVERGENTE"))</x:f>
        <x:v>OK</x:v>
      </x:c>
    </x:row>
    <x:row r="124">
      <x:c r="A124" t="inlineStr">
        <x:is>
          <x:t xml:space="preserve">Liquidez geral</x:t>
        </x:is>
      </x:c>
      <x:c r="B124" t="n">
        <x:v>3</x:v>
      </x:c>
      <x:c r="C124" s="9" t="n">
        <x:f>KPIs!F12</x:f>
        <x:v>0.3593823904598183</x:v>
      </x:c>
      <x:c r="D124" s="9" t="n">
        <x:v>0.3593823904598183</x:v>
      </x:c>
      <x:c r="E124" t="n">
        <x:f>IF(AND(ISNUMBER(C124),ISNUMBER(D124)),ABS(C124-D124),"")</x:f>
        <x:v>0</x:v>
      </x:c>
      <x:c r="F124" t="str">
        <x:f>IF(AND(ISNUMBER(C124),ISNUMBER(D124)),IF(E124&lt;=TOL*MAX(1,ABS(D124)),"OK","DIVERGENTE"),IF(C124=D124,"OK (não calculado: "&amp;C124&amp;")","DIVERGENTE"))</x:f>
        <x:v>OK</x:v>
      </x:c>
    </x:row>
    <x:row r="125">
      <x:c r="A125" t="inlineStr">
        <x:is>
          <x:t xml:space="preserve">Liquidez geral</x:t>
        </x:is>
      </x:c>
      <x:c r="B125" t="n">
        <x:v>4</x:v>
      </x:c>
      <x:c r="C125" s="9" t="n">
        <x:f>KPIs!G12</x:f>
        <x:v>0.3574818952322965</x:v>
      </x:c>
      <x:c r="D125" s="9" t="n">
        <x:v>0.3574818952322965</x:v>
      </x:c>
      <x:c r="E125" t="n">
        <x:f>IF(AND(ISNUMBER(C125),ISNUMBER(D125)),ABS(C125-D125),"")</x:f>
        <x:v>0</x:v>
      </x:c>
      <x:c r="F125" t="str">
        <x:f>IF(AND(ISNUMBER(C125),ISNUMBER(D125)),IF(E125&lt;=TOL*MAX(1,ABS(D125)),"OK","DIVERGENTE"),IF(C125=D125,"OK (não calculado: "&amp;C125&amp;")","DIVERGENTE"))</x:f>
        <x:v>OK</x:v>
      </x:c>
    </x:row>
    <x:row r="126">
      <x:c r="A126" t="inlineStr">
        <x:is>
          <x:t xml:space="preserve">Liquidez geral</x:t>
        </x:is>
      </x:c>
      <x:c r="B126" t="n">
        <x:v>5</x:v>
      </x:c>
      <x:c r="C126" s="9" t="str">
        <x:f>KPIs!H12</x:f>
        <x:v>pendente: PC com sinal positivo</x:v>
      </x:c>
      <x:c r="D126" s="9" t="inlineStr">
        <x:is>
          <x:t xml:space="preserve">pendente: PC com sinal positivo</x:t>
        </x:is>
      </x:c>
      <x:c r="E126" t="str">
        <x:f>IF(AND(ISNUMBER(C126),ISNUMBER(D126)),ABS(C126-D126),"")</x:f>
      </x:c>
      <x:c r="F126" t="str">
        <x:f>IF(AND(ISNUMBER(C126),ISNUMBER(D126)),IF(E126&lt;=TOL*MAX(1,ABS(D126)),"OK","DIVERGENTE"),IF(C126=D126,"OK (não calculado: "&amp;C126&amp;")","DIVERGENTE"))</x:f>
        <x:v>OK (não calculado: pendente: PC com sinal positivo)</x:v>
      </x:c>
    </x:row>
    <x:row r="127">
      <x:c r="A127" t="inlineStr">
        <x:is>
          <x:t xml:space="preserve">Liquidez geral</x:t>
        </x:is>
      </x:c>
      <x:c r="B127" t="n">
        <x:v>6</x:v>
      </x:c>
      <x:c r="C127" s="9" t="str">
        <x:f>KPIs!I12</x:f>
        <x:v>pendente: PC com sinal positivo</x:v>
      </x:c>
      <x:c r="D127" s="9" t="inlineStr">
        <x:is>
          <x:t xml:space="preserve">pendente: PC com sinal positivo</x:t>
        </x:is>
      </x:c>
      <x:c r="E127" t="str">
        <x:f>IF(AND(ISNUMBER(C127),ISNUMBER(D127)),ABS(C127-D127),"")</x:f>
      </x:c>
      <x:c r="F127" t="str">
        <x:f>IF(AND(ISNUMBER(C127),ISNUMBER(D127)),IF(E127&lt;=TOL*MAX(1,ABS(D127)),"OK","DIVERGENTE"),IF(C127=D127,"OK (não calculado: "&amp;C127&amp;")","DIVERGENTE"))</x:f>
        <x:v>OK (não calculado: pendente: PC com sinal positivo)</x:v>
      </x:c>
    </x:row>
    <x:row r="128">
      <x:c r="A128" t="inlineStr">
        <x:is>
          <x:t xml:space="preserve">Liquidez geral</x:t>
        </x:is>
      </x:c>
      <x:c r="B128" t="n">
        <x:v>7</x:v>
      </x:c>
      <x:c r="C128" s="9" t="str">
        <x:f>KPIs!J12</x:f>
        <x:v>pendente: PC com sinal positivo</x:v>
      </x:c>
      <x:c r="D128" s="9" t="inlineStr">
        <x:is>
          <x:t xml:space="preserve">pendente: PC com sinal positivo</x:t>
        </x:is>
      </x:c>
      <x:c r="E128" t="str">
        <x:f>IF(AND(ISNUMBER(C128),ISNUMBER(D128)),ABS(C128-D128),"")</x:f>
      </x:c>
      <x:c r="F128" t="str">
        <x:f>IF(AND(ISNUMBER(C128),ISNUMBER(D128)),IF(E128&lt;=TOL*MAX(1,ABS(D128)),"OK","DIVERGENTE"),IF(C128=D128,"OK (não calculado: "&amp;C128&amp;")","DIVERGENTE"))</x:f>
        <x:v>OK (não calculado: pendente: PC com sinal positivo)</x:v>
      </x:c>
    </x:row>
    <x:row r="129">
      <x:c r="A129" t="inlineStr">
        <x:is>
          <x:t xml:space="preserve">Liquidez geral</x:t>
        </x:is>
      </x:c>
      <x:c r="B129" t="n">
        <x:v>8</x:v>
      </x:c>
      <x:c r="C129" s="9" t="str">
        <x:f>KPIs!K12</x:f>
        <x:v>pendente: PC com sinal positivo</x:v>
      </x:c>
      <x:c r="D129" s="9" t="inlineStr">
        <x:is>
          <x:t xml:space="preserve">pendente: PC com sinal positivo</x:t>
        </x:is>
      </x:c>
      <x:c r="E129" t="str">
        <x:f>IF(AND(ISNUMBER(C129),ISNUMBER(D129)),ABS(C129-D129),"")</x:f>
      </x:c>
      <x:c r="F129" t="str">
        <x:f>IF(AND(ISNUMBER(C129),ISNUMBER(D129)),IF(E129&lt;=TOL*MAX(1,ABS(D129)),"OK","DIVERGENTE"),IF(C129=D129,"OK (não calculado: "&amp;C129&amp;")","DIVERGENTE"))</x:f>
        <x:v>OK (não calculado: pendente: PC com sinal positivo)</x:v>
      </x:c>
    </x:row>
    <x:row r="130">
      <x:c r="A130" t="inlineStr">
        <x:is>
          <x:t xml:space="preserve">Liquidez geral</x:t>
        </x:is>
      </x:c>
      <x:c r="B130" t="n">
        <x:v>9</x:v>
      </x:c>
      <x:c r="C130" s="9" t="str">
        <x:f>KPIs!L12</x:f>
        <x:v>pendente: PC com sinal positivo</x:v>
      </x:c>
      <x:c r="D130" s="9" t="inlineStr">
        <x:is>
          <x:t xml:space="preserve">pendente: PC com sinal positivo</x:t>
        </x:is>
      </x:c>
      <x:c r="E130" t="str">
        <x:f>IF(AND(ISNUMBER(C130),ISNUMBER(D130)),ABS(C130-D130),"")</x:f>
      </x:c>
      <x:c r="F130" t="str">
        <x:f>IF(AND(ISNUMBER(C130),ISNUMBER(D130)),IF(E130&lt;=TOL*MAX(1,ABS(D130)),"OK","DIVERGENTE"),IF(C130=D130,"OK (não calculado: "&amp;C130&amp;")","DIVERGENTE"))</x:f>
        <x:v>OK (não calculado: pendente: PC com sinal positivo)</x:v>
      </x:c>
    </x:row>
    <x:row r="131">
      <x:c r="A131" t="inlineStr">
        <x:is>
          <x:t xml:space="preserve">Liquidez geral</x:t>
        </x:is>
      </x:c>
      <x:c r="B131" t="n">
        <x:v>10</x:v>
      </x:c>
      <x:c r="C131" s="9" t="str">
        <x:f>KPIs!M12</x:f>
        <x:v>pendente: PC com sinal positivo</x:v>
      </x:c>
      <x:c r="D131" s="9" t="inlineStr">
        <x:is>
          <x:t xml:space="preserve">pendente: PC com sinal positivo</x:t>
        </x:is>
      </x:c>
      <x:c r="E131" t="str">
        <x:f>IF(AND(ISNUMBER(C131),ISNUMBER(D131)),ABS(C131-D131),"")</x:f>
      </x:c>
      <x:c r="F131" t="str">
        <x:f>IF(AND(ISNUMBER(C131),ISNUMBER(D131)),IF(E131&lt;=TOL*MAX(1,ABS(D131)),"OK","DIVERGENTE"),IF(C131=D131,"OK (não calculado: "&amp;C131&amp;")","DIVERGENTE"))</x:f>
        <x:v>OK (não calculado: pendente: PC com sinal positivo)</x:v>
      </x:c>
    </x:row>
    <x:row r="132">
      <x:c r="A132" t="inlineStr">
        <x:is>
          <x:t xml:space="preserve">Liquidez geral</x:t>
        </x:is>
      </x:c>
      <x:c r="B132" t="n">
        <x:v>11</x:v>
      </x:c>
      <x:c r="C132" s="9" t="str">
        <x:f>KPIs!N12</x:f>
        <x:v>pendente: PC com sinal positivo</x:v>
      </x:c>
      <x:c r="D132" s="9" t="inlineStr">
        <x:is>
          <x:t xml:space="preserve">pendente: PC com sinal positivo</x:t>
        </x:is>
      </x:c>
      <x:c r="E132" t="str">
        <x:f>IF(AND(ISNUMBER(C132),ISNUMBER(D132)),ABS(C132-D132),"")</x:f>
      </x:c>
      <x:c r="F132" t="str">
        <x:f>IF(AND(ISNUMBER(C132),ISNUMBER(D132)),IF(E132&lt;=TOL*MAX(1,ABS(D132)),"OK","DIVERGENTE"),IF(C132=D132,"OK (não calculado: "&amp;C132&amp;")","DIVERGENTE"))</x:f>
        <x:v>OK (não calculado: pendente: PC com sinal positivo)</x:v>
      </x:c>
    </x:row>
    <x:row r="133">
      <x:c r="A133" t="inlineStr">
        <x:is>
          <x:t xml:space="preserve">Liquidez geral</x:t>
        </x:is>
      </x:c>
      <x:c r="B133" t="n">
        <x:v>12</x:v>
      </x:c>
      <x:c r="C133" s="9" t="str">
        <x:f>KPIs!O12</x:f>
        <x:v>indisponível: conta ausente</x:v>
      </x:c>
      <x:c r="D133" s="9" t="inlineStr">
        <x:is>
          <x:t xml:space="preserve">indisponível: conta ausente</x:t>
        </x:is>
      </x:c>
      <x:c r="E133" t="str">
        <x:f>IF(AND(ISNUMBER(C133),ISNUMBER(D133)),ABS(C133-D133),"")</x:f>
      </x:c>
      <x:c r="F133" t="str">
        <x:f>IF(AND(ISNUMBER(C133),ISNUMBER(D133)),IF(E133&lt;=TOL*MAX(1,ABS(D133)),"OK","DIVERGENTE"),IF(C133=D133,"OK (não calculado: "&amp;C133&amp;")","DIVERGENTE"))</x:f>
        <x:v>OK (não calculado: indisponível: conta ausente)</x:v>
      </x:c>
    </x:row>
    <x:row r="134">
      <x:c r="A134" t="inlineStr">
        <x:is>
          <x:t xml:space="preserve">Endividamento geral</x:t>
        </x:is>
      </x:c>
      <x:c r="B134" t="n">
        <x:v>1</x:v>
      </x:c>
      <x:c r="C134" s="7" t="n">
        <x:f>KPIs!D13</x:f>
        <x:v>0.8125868845778612</x:v>
      </x:c>
      <x:c r="D134" s="7" t="n">
        <x:v>0.812586884577861</x:v>
      </x:c>
      <x:c r="E134" t="n">
        <x:f>IF(AND(ISNUMBER(C134),ISNUMBER(D134)),ABS(C134-D134),"")</x:f>
        <x:v>2.220446049250313e-16</x:v>
      </x:c>
      <x:c r="F134" t="str">
        <x:f>IF(AND(ISNUMBER(C134),ISNUMBER(D134)),IF(E134&lt;=TOL*MAX(1,ABS(D134)),"OK","DIVERGENTE"),IF(C134=D134,"OK (não calculado: "&amp;C134&amp;")","DIVERGENTE"))</x:f>
        <x:v>OK</x:v>
      </x:c>
    </x:row>
    <x:row r="135">
      <x:c r="A135" t="inlineStr">
        <x:is>
          <x:t xml:space="preserve">Endividamento geral</x:t>
        </x:is>
      </x:c>
      <x:c r="B135" t="n">
        <x:v>2</x:v>
      </x:c>
      <x:c r="C135" s="7" t="n">
        <x:f>KPIs!E13</x:f>
        <x:v>0.8639046000353854</x:v>
      </x:c>
      <x:c r="D135" s="7" t="n">
        <x:v>0.8639046000353851</x:v>
      </x:c>
      <x:c r="E135" t="n">
        <x:f>IF(AND(ISNUMBER(C135),ISNUMBER(D135)),ABS(C135-D135),"")</x:f>
        <x:v>3.3306690738754696e-16</x:v>
      </x:c>
      <x:c r="F135" t="str">
        <x:f>IF(AND(ISNUMBER(C135),ISNUMBER(D135)),IF(E135&lt;=TOL*MAX(1,ABS(D135)),"OK","DIVERGENTE"),IF(C135=D135,"OK (não calculado: "&amp;C135&amp;")","DIVERGENTE"))</x:f>
        <x:v>OK</x:v>
      </x:c>
    </x:row>
    <x:row r="136">
      <x:c r="A136" t="inlineStr">
        <x:is>
          <x:t xml:space="preserve">Endividamento geral</x:t>
        </x:is>
      </x:c>
      <x:c r="B136" t="n">
        <x:v>3</x:v>
      </x:c>
      <x:c r="C136" s="7" t="n">
        <x:f>KPIs!F13</x:f>
        <x:v>0.8654664506568766</x:v>
      </x:c>
      <x:c r="D136" s="7" t="n">
        <x:v>0.8654664506568762</x:v>
      </x:c>
      <x:c r="E136" t="n">
        <x:f>IF(AND(ISNUMBER(C136),ISNUMBER(D136)),ABS(C136-D136),"")</x:f>
        <x:v>3.3306690738754696e-16</x:v>
      </x:c>
      <x:c r="F136" t="str">
        <x:f>IF(AND(ISNUMBER(C136),ISNUMBER(D136)),IF(E136&lt;=TOL*MAX(1,ABS(D136)),"OK","DIVERGENTE"),IF(C136=D136,"OK (não calculado: "&amp;C136&amp;")","DIVERGENTE"))</x:f>
        <x:v>OK</x:v>
      </x:c>
    </x:row>
    <x:row r="137">
      <x:c r="A137" t="inlineStr">
        <x:is>
          <x:t xml:space="preserve">Endividamento geral</x:t>
        </x:is>
      </x:c>
      <x:c r="B137" t="n">
        <x:v>4</x:v>
      </x:c>
      <x:c r="C137" s="7" t="n">
        <x:f>KPIs!G13</x:f>
        <x:v>0.8392122967431962</x:v>
      </x:c>
      <x:c r="D137" s="7" t="n">
        <x:v>0.8392122967431962</x:v>
      </x:c>
      <x:c r="E137" t="n">
        <x:f>IF(AND(ISNUMBER(C137),ISNUMBER(D137)),ABS(C137-D137),"")</x:f>
        <x:v>0</x:v>
      </x:c>
      <x:c r="F137" t="str">
        <x:f>IF(AND(ISNUMBER(C137),ISNUMBER(D137)),IF(E137&lt;=TOL*MAX(1,ABS(D137)),"OK","DIVERGENTE"),IF(C137=D137,"OK (não calculado: "&amp;C137&amp;")","DIVERGENTE"))</x:f>
        <x:v>OK</x:v>
      </x:c>
    </x:row>
    <x:row r="138">
      <x:c r="A138" t="inlineStr">
        <x:is>
          <x:t xml:space="preserve">Endividamento geral</x:t>
        </x:is>
      </x:c>
      <x:c r="B138" t="n">
        <x:v>5</x:v>
      </x:c>
      <x:c r="C138" s="7" t="str">
        <x:f>KPIs!H13</x:f>
        <x:v>pendente: PC com sinal positivo</x:v>
      </x:c>
      <x:c r="D138" s="7" t="inlineStr">
        <x:is>
          <x:t xml:space="preserve">pendente: PC com sinal positivo</x:t>
        </x:is>
      </x:c>
      <x:c r="E138" t="str">
        <x:f>IF(AND(ISNUMBER(C138),ISNUMBER(D138)),ABS(C138-D138),"")</x:f>
      </x:c>
      <x:c r="F138" t="str">
        <x:f>IF(AND(ISNUMBER(C138),ISNUMBER(D138)),IF(E138&lt;=TOL*MAX(1,ABS(D138)),"OK","DIVERGENTE"),IF(C138=D138,"OK (não calculado: "&amp;C138&amp;")","DIVERGENTE"))</x:f>
        <x:v>OK (não calculado: pendente: PC com sinal positivo)</x:v>
      </x:c>
    </x:row>
    <x:row r="139">
      <x:c r="A139" t="inlineStr">
        <x:is>
          <x:t xml:space="preserve">Endividamento geral</x:t>
        </x:is>
      </x:c>
      <x:c r="B139" t="n">
        <x:v>6</x:v>
      </x:c>
      <x:c r="C139" s="7" t="str">
        <x:f>KPIs!I13</x:f>
        <x:v>pendente: PC com sinal positivo</x:v>
      </x:c>
      <x:c r="D139" s="7" t="inlineStr">
        <x:is>
          <x:t xml:space="preserve">pendente: PC com sinal positivo</x:t>
        </x:is>
      </x:c>
      <x:c r="E139" t="str">
        <x:f>IF(AND(ISNUMBER(C139),ISNUMBER(D139)),ABS(C139-D139),"")</x:f>
      </x:c>
      <x:c r="F139" t="str">
        <x:f>IF(AND(ISNUMBER(C139),ISNUMBER(D139)),IF(E139&lt;=TOL*MAX(1,ABS(D139)),"OK","DIVERGENTE"),IF(C139=D139,"OK (não calculado: "&amp;C139&amp;")","DIVERGENTE"))</x:f>
        <x:v>OK (não calculado: pendente: PC com sinal positivo)</x:v>
      </x:c>
    </x:row>
    <x:row r="140">
      <x:c r="A140" t="inlineStr">
        <x:is>
          <x:t xml:space="preserve">Endividamento geral</x:t>
        </x:is>
      </x:c>
      <x:c r="B140" t="n">
        <x:v>7</x:v>
      </x:c>
      <x:c r="C140" s="7" t="str">
        <x:f>KPIs!J13</x:f>
        <x:v>pendente: PC com sinal positivo</x:v>
      </x:c>
      <x:c r="D140" s="7" t="inlineStr">
        <x:is>
          <x:t xml:space="preserve">pendente: PC com sinal positivo</x:t>
        </x:is>
      </x:c>
      <x:c r="E140" t="str">
        <x:f>IF(AND(ISNUMBER(C140),ISNUMBER(D140)),ABS(C140-D140),"")</x:f>
      </x:c>
      <x:c r="F140" t="str">
        <x:f>IF(AND(ISNUMBER(C140),ISNUMBER(D140)),IF(E140&lt;=TOL*MAX(1,ABS(D140)),"OK","DIVERGENTE"),IF(C140=D140,"OK (não calculado: "&amp;C140&amp;")","DIVERGENTE"))</x:f>
        <x:v>OK (não calculado: pendente: PC com sinal positivo)</x:v>
      </x:c>
    </x:row>
    <x:row r="141">
      <x:c r="A141" t="inlineStr">
        <x:is>
          <x:t xml:space="preserve">Endividamento geral</x:t>
        </x:is>
      </x:c>
      <x:c r="B141" t="n">
        <x:v>8</x:v>
      </x:c>
      <x:c r="C141" s="7" t="str">
        <x:f>KPIs!K13</x:f>
        <x:v>pendente: PC com sinal positivo</x:v>
      </x:c>
      <x:c r="D141" s="7" t="inlineStr">
        <x:is>
          <x:t xml:space="preserve">pendente: PC com sinal positivo</x:t>
        </x:is>
      </x:c>
      <x:c r="E141" t="str">
        <x:f>IF(AND(ISNUMBER(C141),ISNUMBER(D141)),ABS(C141-D141),"")</x:f>
      </x:c>
      <x:c r="F141" t="str">
        <x:f>IF(AND(ISNUMBER(C141),ISNUMBER(D141)),IF(E141&lt;=TOL*MAX(1,ABS(D141)),"OK","DIVERGENTE"),IF(C141=D141,"OK (não calculado: "&amp;C141&amp;")","DIVERGENTE"))</x:f>
        <x:v>OK (não calculado: pendente: PC com sinal positivo)</x:v>
      </x:c>
    </x:row>
    <x:row r="142">
      <x:c r="A142" t="inlineStr">
        <x:is>
          <x:t xml:space="preserve">Endividamento geral</x:t>
        </x:is>
      </x:c>
      <x:c r="B142" t="n">
        <x:v>9</x:v>
      </x:c>
      <x:c r="C142" s="7" t="str">
        <x:f>KPIs!L13</x:f>
        <x:v>pendente: PC com sinal positivo</x:v>
      </x:c>
      <x:c r="D142" s="7" t="inlineStr">
        <x:is>
          <x:t xml:space="preserve">pendente: PC com sinal positivo</x:t>
        </x:is>
      </x:c>
      <x:c r="E142" t="str">
        <x:f>IF(AND(ISNUMBER(C142),ISNUMBER(D142)),ABS(C142-D142),"")</x:f>
      </x:c>
      <x:c r="F142" t="str">
        <x:f>IF(AND(ISNUMBER(C142),ISNUMBER(D142)),IF(E142&lt;=TOL*MAX(1,ABS(D142)),"OK","DIVERGENTE"),IF(C142=D142,"OK (não calculado: "&amp;C142&amp;")","DIVERGENTE"))</x:f>
        <x:v>OK (não calculado: pendente: PC com sinal positivo)</x:v>
      </x:c>
    </x:row>
    <x:row r="143">
      <x:c r="A143" t="inlineStr">
        <x:is>
          <x:t xml:space="preserve">Endividamento geral</x:t>
        </x:is>
      </x:c>
      <x:c r="B143" t="n">
        <x:v>10</x:v>
      </x:c>
      <x:c r="C143" s="7" t="str">
        <x:f>KPIs!M13</x:f>
        <x:v>pendente: PC com sinal positivo</x:v>
      </x:c>
      <x:c r="D143" s="7" t="inlineStr">
        <x:is>
          <x:t xml:space="preserve">pendente: PC com sinal positivo</x:t>
        </x:is>
      </x:c>
      <x:c r="E143" t="str">
        <x:f>IF(AND(ISNUMBER(C143),ISNUMBER(D143)),ABS(C143-D143),"")</x:f>
      </x:c>
      <x:c r="F143" t="str">
        <x:f>IF(AND(ISNUMBER(C143),ISNUMBER(D143)),IF(E143&lt;=TOL*MAX(1,ABS(D143)),"OK","DIVERGENTE"),IF(C143=D143,"OK (não calculado: "&amp;C143&amp;")","DIVERGENTE"))</x:f>
        <x:v>OK (não calculado: pendente: PC com sinal positivo)</x:v>
      </x:c>
    </x:row>
    <x:row r="144">
      <x:c r="A144" t="inlineStr">
        <x:is>
          <x:t xml:space="preserve">Endividamento geral</x:t>
        </x:is>
      </x:c>
      <x:c r="B144" t="n">
        <x:v>11</x:v>
      </x:c>
      <x:c r="C144" s="7" t="str">
        <x:f>KPIs!N13</x:f>
        <x:v>pendente: PC com sinal positivo</x:v>
      </x:c>
      <x:c r="D144" s="7" t="inlineStr">
        <x:is>
          <x:t xml:space="preserve">pendente: PC com sinal positivo</x:t>
        </x:is>
      </x:c>
      <x:c r="E144" t="str">
        <x:f>IF(AND(ISNUMBER(C144),ISNUMBER(D144)),ABS(C144-D144),"")</x:f>
      </x:c>
      <x:c r="F144" t="str">
        <x:f>IF(AND(ISNUMBER(C144),ISNUMBER(D144)),IF(E144&lt;=TOL*MAX(1,ABS(D144)),"OK","DIVERGENTE"),IF(C144=D144,"OK (não calculado: "&amp;C144&amp;")","DIVERGENTE"))</x:f>
        <x:v>OK (não calculado: pendente: PC com sinal positivo)</x:v>
      </x:c>
    </x:row>
    <x:row r="145">
      <x:c r="A145" t="inlineStr">
        <x:is>
          <x:t xml:space="preserve">Endividamento geral</x:t>
        </x:is>
      </x:c>
      <x:c r="B145" t="n">
        <x:v>12</x:v>
      </x:c>
      <x:c r="C145" s="7" t="str">
        <x:f>KPIs!O13</x:f>
        <x:v>indisponível: conta ausente</x:v>
      </x:c>
      <x:c r="D145" s="7" t="inlineStr">
        <x:is>
          <x:t xml:space="preserve">indisponível: conta ausente</x:t>
        </x:is>
      </x:c>
      <x:c r="E145" t="str">
        <x:f>IF(AND(ISNUMBER(C145),ISNUMBER(D145)),ABS(C145-D145),"")</x:f>
      </x:c>
      <x:c r="F145" t="str">
        <x:f>IF(AND(ISNUMBER(C145),ISNUMBER(D145)),IF(E145&lt;=TOL*MAX(1,ABS(D145)),"OK","DIVERGENTE"),IF(C145=D145,"OK (não calculado: "&amp;C145&amp;")","DIVERGENTE"))</x:f>
        <x:v>OK (não calculado: indisponível: conta ausente)</x:v>
      </x:c>
    </x:row>
    <x:row r="146">
      <x:c r="A146" t="inlineStr">
        <x:is>
          <x:t xml:space="preserve">Participação de capital de terceiros</x:t>
        </x:is>
      </x:c>
      <x:c r="B146" t="n">
        <x:v>1</x:v>
      </x:c>
      <x:c r="C146" s="9" t="n">
        <x:f>KPIs!D14</x:f>
        <x:v>4.335805862667767</x:v>
      </x:c>
      <x:c r="D146" s="9" t="n">
        <x:v>4.335805862667768</x:v>
      </x:c>
      <x:c r="E146" t="n">
        <x:f>IF(AND(ISNUMBER(C146),ISNUMBER(D146)),ABS(C146-D146),"")</x:f>
        <x:v>8.881784197001252e-16</x:v>
      </x:c>
      <x:c r="F146" t="str">
        <x:f>IF(AND(ISNUMBER(C146),ISNUMBER(D146)),IF(E146&lt;=TOL*MAX(1,ABS(D146)),"OK","DIVERGENTE"),IF(C146=D146,"OK (não calculado: "&amp;C146&amp;")","DIVERGENTE"))</x:f>
        <x:v>OK</x:v>
      </x:c>
    </x:row>
    <x:row r="147">
      <x:c r="A147" t="inlineStr">
        <x:is>
          <x:t xml:space="preserve">Participação de capital de terceiros</x:t>
        </x:is>
      </x:c>
      <x:c r="B147" t="n">
        <x:v>2</x:v>
      </x:c>
      <x:c r="C147" s="9" t="n">
        <x:f>KPIs!E14</x:f>
        <x:v>6.347786922081749</x:v>
      </x:c>
      <x:c r="D147" s="9" t="n">
        <x:v>6.34778692208175</x:v>
      </x:c>
      <x:c r="E147" t="n">
        <x:f>IF(AND(ISNUMBER(C147),ISNUMBER(D147)),ABS(C147-D147),"")</x:f>
        <x:v>8.881784197001252e-16</x:v>
      </x:c>
      <x:c r="F147" t="str">
        <x:f>IF(AND(ISNUMBER(C147),ISNUMBER(D147)),IF(E147&lt;=TOL*MAX(1,ABS(D147)),"OK","DIVERGENTE"),IF(C147=D147,"OK (não calculado: "&amp;C147&amp;")","DIVERGENTE"))</x:f>
        <x:v>OK</x:v>
      </x:c>
    </x:row>
    <x:row r="148">
      <x:c r="A148" t="inlineStr">
        <x:is>
          <x:t xml:space="preserve">Participação de capital de terceiros</x:t>
        </x:is>
      </x:c>
      <x:c r="B148" t="n">
        <x:v>3</x:v>
      </x:c>
      <x:c r="C148" s="9" t="n">
        <x:f>KPIs!F14</x:f>
        <x:v>6.433090146640941</x:v>
      </x:c>
      <x:c r="D148" s="9" t="n">
        <x:v>6.433090146640938</x:v>
      </x:c>
      <x:c r="E148" t="n">
        <x:f>IF(AND(ISNUMBER(C148),ISNUMBER(D148)),ABS(C148-D148),"")</x:f>
        <x:v>3.552713678800501e-15</x:v>
      </x:c>
      <x:c r="F148" t="str">
        <x:f>IF(AND(ISNUMBER(C148),ISNUMBER(D148)),IF(E148&lt;=TOL*MAX(1,ABS(D148)),"OK","DIVERGENTE"),IF(C148=D148,"OK (não calculado: "&amp;C148&amp;")","DIVERGENTE"))</x:f>
        <x:v>OK</x:v>
      </x:c>
    </x:row>
    <x:row r="149">
      <x:c r="A149" t="inlineStr">
        <x:is>
          <x:t xml:space="preserve">Participação de capital de terceiros</x:t>
        </x:is>
      </x:c>
      <x:c r="B149" t="n">
        <x:v>4</x:v>
      </x:c>
      <x:c r="C149" s="9" t="n">
        <x:f>KPIs!G14</x:f>
        <x:v>5.219381082995853</x:v>
      </x:c>
      <x:c r="D149" s="9" t="n">
        <x:v>5.219381082995852</x:v>
      </x:c>
      <x:c r="E149" t="n">
        <x:f>IF(AND(ISNUMBER(C149),ISNUMBER(D149)),ABS(C149-D149),"")</x:f>
        <x:v>8.881784197001252e-16</x:v>
      </x:c>
      <x:c r="F149" t="str">
        <x:f>IF(AND(ISNUMBER(C149),ISNUMBER(D149)),IF(E149&lt;=TOL*MAX(1,ABS(D149)),"OK","DIVERGENTE"),IF(C149=D149,"OK (não calculado: "&amp;C149&amp;")","DIVERGENTE"))</x:f>
        <x:v>OK</x:v>
      </x:c>
    </x:row>
    <x:row r="150">
      <x:c r="A150" t="inlineStr">
        <x:is>
          <x:t xml:space="preserve">Participação de capital de terceiros</x:t>
        </x:is>
      </x:c>
      <x:c r="B150" t="n">
        <x:v>5</x:v>
      </x:c>
      <x:c r="C150" s="9" t="str">
        <x:f>KPIs!H14</x:f>
        <x:v>pendente: PC com sinal positivo</x:v>
      </x:c>
      <x:c r="D150" s="9" t="inlineStr">
        <x:is>
          <x:t xml:space="preserve">pendente: PC com sinal positivo</x:t>
        </x:is>
      </x:c>
      <x:c r="E150" t="str">
        <x:f>IF(AND(ISNUMBER(C150),ISNUMBER(D150)),ABS(C150-D150),"")</x:f>
      </x:c>
      <x:c r="F150" t="str">
        <x:f>IF(AND(ISNUMBER(C150),ISNUMBER(D150)),IF(E150&lt;=TOL*MAX(1,ABS(D150)),"OK","DIVERGENTE"),IF(C150=D150,"OK (não calculado: "&amp;C150&amp;")","DIVERGENTE"))</x:f>
        <x:v>OK (não calculado: pendente: PC com sinal positivo)</x:v>
      </x:c>
    </x:row>
    <x:row r="151">
      <x:c r="A151" t="inlineStr">
        <x:is>
          <x:t xml:space="preserve">Participação de capital de terceiros</x:t>
        </x:is>
      </x:c>
      <x:c r="B151" t="n">
        <x:v>6</x:v>
      </x:c>
      <x:c r="C151" s="9" t="str">
        <x:f>KPIs!I14</x:f>
        <x:v>pendente: PC com sinal positivo</x:v>
      </x:c>
      <x:c r="D151" s="9" t="inlineStr">
        <x:is>
          <x:t xml:space="preserve">pendente: PC com sinal positivo</x:t>
        </x:is>
      </x:c>
      <x:c r="E151" t="str">
        <x:f>IF(AND(ISNUMBER(C151),ISNUMBER(D151)),ABS(C151-D151),"")</x:f>
      </x:c>
      <x:c r="F151" t="str">
        <x:f>IF(AND(ISNUMBER(C151),ISNUMBER(D151)),IF(E151&lt;=TOL*MAX(1,ABS(D151)),"OK","DIVERGENTE"),IF(C151=D151,"OK (não calculado: "&amp;C151&amp;")","DIVERGENTE"))</x:f>
        <x:v>OK (não calculado: pendente: PC com sinal positivo)</x:v>
      </x:c>
    </x:row>
    <x:row r="152">
      <x:c r="A152" t="inlineStr">
        <x:is>
          <x:t xml:space="preserve">Participação de capital de terceiros</x:t>
        </x:is>
      </x:c>
      <x:c r="B152" t="n">
        <x:v>7</x:v>
      </x:c>
      <x:c r="C152" s="9" t="str">
        <x:f>KPIs!J14</x:f>
        <x:v>pendente: PC com sinal positivo</x:v>
      </x:c>
      <x:c r="D152" s="9" t="inlineStr">
        <x:is>
          <x:t xml:space="preserve">pendente: PC com sinal positivo</x:t>
        </x:is>
      </x:c>
      <x:c r="E152" t="str">
        <x:f>IF(AND(ISNUMBER(C152),ISNUMBER(D152)),ABS(C152-D152),"")</x:f>
      </x:c>
      <x:c r="F152" t="str">
        <x:f>IF(AND(ISNUMBER(C152),ISNUMBER(D152)),IF(E152&lt;=TOL*MAX(1,ABS(D152)),"OK","DIVERGENTE"),IF(C152=D152,"OK (não calculado: "&amp;C152&amp;")","DIVERGENTE"))</x:f>
        <x:v>OK (não calculado: pendente: PC com sinal positivo)</x:v>
      </x:c>
    </x:row>
    <x:row r="153">
      <x:c r="A153" t="inlineStr">
        <x:is>
          <x:t xml:space="preserve">Participação de capital de terceiros</x:t>
        </x:is>
      </x:c>
      <x:c r="B153" t="n">
        <x:v>8</x:v>
      </x:c>
      <x:c r="C153" s="9" t="str">
        <x:f>KPIs!K14</x:f>
        <x:v>pendente: PC com sinal positivo</x:v>
      </x:c>
      <x:c r="D153" s="9" t="inlineStr">
        <x:is>
          <x:t xml:space="preserve">pendente: PC com sinal positivo</x:t>
        </x:is>
      </x:c>
      <x:c r="E153" t="str">
        <x:f>IF(AND(ISNUMBER(C153),ISNUMBER(D153)),ABS(C153-D153),"")</x:f>
      </x:c>
      <x:c r="F153" t="str">
        <x:f>IF(AND(ISNUMBER(C153),ISNUMBER(D153)),IF(E153&lt;=TOL*MAX(1,ABS(D153)),"OK","DIVERGENTE"),IF(C153=D153,"OK (não calculado: "&amp;C153&amp;")","DIVERGENTE"))</x:f>
        <x:v>OK (não calculado: pendente: PC com sinal positivo)</x:v>
      </x:c>
    </x:row>
    <x:row r="154">
      <x:c r="A154" t="inlineStr">
        <x:is>
          <x:t xml:space="preserve">Participação de capital de terceiros</x:t>
        </x:is>
      </x:c>
      <x:c r="B154" t="n">
        <x:v>9</x:v>
      </x:c>
      <x:c r="C154" s="9" t="str">
        <x:f>KPIs!L14</x:f>
        <x:v>pendente: PC com sinal positivo</x:v>
      </x:c>
      <x:c r="D154" s="9" t="inlineStr">
        <x:is>
          <x:t xml:space="preserve">pendente: PC com sinal positivo</x:t>
        </x:is>
      </x:c>
      <x:c r="E154" t="str">
        <x:f>IF(AND(ISNUMBER(C154),ISNUMBER(D154)),ABS(C154-D154),"")</x:f>
      </x:c>
      <x:c r="F154" t="str">
        <x:f>IF(AND(ISNUMBER(C154),ISNUMBER(D154)),IF(E154&lt;=TOL*MAX(1,ABS(D154)),"OK","DIVERGENTE"),IF(C154=D154,"OK (não calculado: "&amp;C154&amp;")","DIVERGENTE"))</x:f>
        <x:v>OK (não calculado: pendente: PC com sinal positivo)</x:v>
      </x:c>
    </x:row>
    <x:row r="155">
      <x:c r="A155" t="inlineStr">
        <x:is>
          <x:t xml:space="preserve">Participação de capital de terceiros</x:t>
        </x:is>
      </x:c>
      <x:c r="B155" t="n">
        <x:v>10</x:v>
      </x:c>
      <x:c r="C155" s="9" t="str">
        <x:f>KPIs!M14</x:f>
        <x:v>pendente: PC com sinal positivo</x:v>
      </x:c>
      <x:c r="D155" s="9" t="inlineStr">
        <x:is>
          <x:t xml:space="preserve">pendente: PC com sinal positivo</x:t>
        </x:is>
      </x:c>
      <x:c r="E155" t="str">
        <x:f>IF(AND(ISNUMBER(C155),ISNUMBER(D155)),ABS(C155-D155),"")</x:f>
      </x:c>
      <x:c r="F155" t="str">
        <x:f>IF(AND(ISNUMBER(C155),ISNUMBER(D155)),IF(E155&lt;=TOL*MAX(1,ABS(D155)),"OK","DIVERGENTE"),IF(C155=D155,"OK (não calculado: "&amp;C155&amp;")","DIVERGENTE"))</x:f>
        <x:v>OK (não calculado: pendente: PC com sinal positivo)</x:v>
      </x:c>
    </x:row>
    <x:row r="156">
      <x:c r="A156" t="inlineStr">
        <x:is>
          <x:t xml:space="preserve">Participação de capital de terceiros</x:t>
        </x:is>
      </x:c>
      <x:c r="B156" t="n">
        <x:v>11</x:v>
      </x:c>
      <x:c r="C156" s="9" t="str">
        <x:f>KPIs!N14</x:f>
        <x:v>pendente: PC com sinal positivo</x:v>
      </x:c>
      <x:c r="D156" s="9" t="inlineStr">
        <x:is>
          <x:t xml:space="preserve">pendente: PC com sinal positivo</x:t>
        </x:is>
      </x:c>
      <x:c r="E156" t="str">
        <x:f>IF(AND(ISNUMBER(C156),ISNUMBER(D156)),ABS(C156-D156),"")</x:f>
      </x:c>
      <x:c r="F156" t="str">
        <x:f>IF(AND(ISNUMBER(C156),ISNUMBER(D156)),IF(E156&lt;=TOL*MAX(1,ABS(D156)),"OK","DIVERGENTE"),IF(C156=D156,"OK (não calculado: "&amp;C156&amp;")","DIVERGENTE"))</x:f>
        <x:v>OK (não calculado: pendente: PC com sinal positivo)</x:v>
      </x:c>
    </x:row>
    <x:row r="157">
      <x:c r="A157" t="inlineStr">
        <x:is>
          <x:t xml:space="preserve">Participação de capital de terceiros</x:t>
        </x:is>
      </x:c>
      <x:c r="B157" t="n">
        <x:v>12</x:v>
      </x:c>
      <x:c r="C157" s="9" t="str">
        <x:f>KPIs!O14</x:f>
        <x:v>indisponível: conta ausente</x:v>
      </x:c>
      <x:c r="D157" s="9" t="inlineStr">
        <x:is>
          <x:t xml:space="preserve">indisponível: conta ausente</x:t>
        </x:is>
      </x:c>
      <x:c r="E157" t="str">
        <x:f>IF(AND(ISNUMBER(C157),ISNUMBER(D157)),ABS(C157-D157),"")</x:f>
      </x:c>
      <x:c r="F157" t="str">
        <x:f>IF(AND(ISNUMBER(C157),ISNUMBER(D157)),IF(E157&lt;=TOL*MAX(1,ABS(D157)),"OK","DIVERGENTE"),IF(C157=D157,"OK (não calculado: "&amp;C157&amp;")","DIVERGENTE"))</x:f>
        <x:v>OK (não calculado: indisponível: conta ausente)</x:v>
      </x:c>
    </x:row>
    <x:row r="158">
      <x:c r="A158" t="inlineStr">
        <x:is>
          <x:t xml:space="preserve">Composição do endividamento</x:t>
        </x:is>
      </x:c>
      <x:c r="B158" t="n">
        <x:v>1</x:v>
      </x:c>
      <x:c r="C158" s="7" t="n">
        <x:f>KPIs!D15</x:f>
        <x:v>0.12541015629392016</x:v>
      </x:c>
      <x:c r="D158" s="7" t="n">
        <x:v>0.1254101562939201</x:v>
      </x:c>
      <x:c r="E158" t="n">
        <x:f>IF(AND(ISNUMBER(C158),ISNUMBER(D158)),ABS(C158-D158),"")</x:f>
        <x:v>5.551115123125783e-17</x:v>
      </x:c>
      <x:c r="F158" t="str">
        <x:f>IF(AND(ISNUMBER(C158),ISNUMBER(D158)),IF(E158&lt;=TOL*MAX(1,ABS(D158)),"OK","DIVERGENTE"),IF(C158=D158,"OK (não calculado: "&amp;C158&amp;")","DIVERGENTE"))</x:f>
        <x:v>OK</x:v>
      </x:c>
    </x:row>
    <x:row r="159">
      <x:c r="A159" t="inlineStr">
        <x:is>
          <x:t xml:space="preserve">Composição do endividamento</x:t>
        </x:is>
      </x:c>
      <x:c r="B159" t="n">
        <x:v>2</x:v>
      </x:c>
      <x:c r="C159" s="7" t="n">
        <x:f>KPIs!E15</x:f>
        <x:v>0.1524903294290519</x:v>
      </x:c>
      <x:c r="D159" s="7" t="n">
        <x:v>0.1524903294290519</x:v>
      </x:c>
      <x:c r="E159" t="n">
        <x:f>IF(AND(ISNUMBER(C159),ISNUMBER(D159)),ABS(C159-D159),"")</x:f>
        <x:v>0</x:v>
      </x:c>
      <x:c r="F159" t="str">
        <x:f>IF(AND(ISNUMBER(C159),ISNUMBER(D159)),IF(E159&lt;=TOL*MAX(1,ABS(D159)),"OK","DIVERGENTE"),IF(C159=D159,"OK (não calculado: "&amp;C159&amp;")","DIVERGENTE"))</x:f>
        <x:v>OK</x:v>
      </x:c>
    </x:row>
    <x:row r="160">
      <x:c r="A160" t="inlineStr">
        <x:is>
          <x:t xml:space="preserve">Composição do endividamento</x:t>
        </x:is>
      </x:c>
      <x:c r="B160" t="n">
        <x:v>3</x:v>
      </x:c>
      <x:c r="C160" s="7" t="n">
        <x:f>KPIs!F15</x:f>
        <x:v>0.189053496593705</x:v>
      </x:c>
      <x:c r="D160" s="7" t="n">
        <x:v>0.189053496593705</x:v>
      </x:c>
      <x:c r="E160" t="n">
        <x:f>IF(AND(ISNUMBER(C160),ISNUMBER(D160)),ABS(C160-D160),"")</x:f>
        <x:v>0</x:v>
      </x:c>
      <x:c r="F160" t="str">
        <x:f>IF(AND(ISNUMBER(C160),ISNUMBER(D160)),IF(E160&lt;=TOL*MAX(1,ABS(D160)),"OK","DIVERGENTE"),IF(C160=D160,"OK (não calculado: "&amp;C160&amp;")","DIVERGENTE"))</x:f>
        <x:v>OK</x:v>
      </x:c>
    </x:row>
    <x:row r="161">
      <x:c r="A161" t="inlineStr">
        <x:is>
          <x:t xml:space="preserve">Composição do endividamento</x:t>
        </x:is>
      </x:c>
      <x:c r="B161" t="n">
        <x:v>4</x:v>
      </x:c>
      <x:c r="C161" s="7" t="n">
        <x:f>KPIs!G15</x:f>
        <x:v>0.06181903243242993</x:v>
      </x:c>
      <x:c r="D161" s="7" t="n">
        <x:v>0.06181903243242994</x:v>
      </x:c>
      <x:c r="E161" t="n">
        <x:f>IF(AND(ISNUMBER(C161),ISNUMBER(D161)),ABS(C161-D161),"")</x:f>
        <x:v>1.3877787807814457e-17</x:v>
      </x:c>
      <x:c r="F161" t="str">
        <x:f>IF(AND(ISNUMBER(C161),ISNUMBER(D161)),IF(E161&lt;=TOL*MAX(1,ABS(D161)),"OK","DIVERGENTE"),IF(C161=D161,"OK (não calculado: "&amp;C161&amp;")","DIVERGENTE"))</x:f>
        <x:v>OK</x:v>
      </x:c>
    </x:row>
    <x:row r="162">
      <x:c r="A162" t="inlineStr">
        <x:is>
          <x:t xml:space="preserve">Composição do endividamento</x:t>
        </x:is>
      </x:c>
      <x:c r="B162" t="n">
        <x:v>5</x:v>
      </x:c>
      <x:c r="C162" s="7" t="str">
        <x:f>KPIs!H15</x:f>
        <x:v>pendente: PC com sinal positivo</x:v>
      </x:c>
      <x:c r="D162" s="7" t="inlineStr">
        <x:is>
          <x:t xml:space="preserve">pendente: PC com sinal positivo</x:t>
        </x:is>
      </x:c>
      <x:c r="E162" t="str">
        <x:f>IF(AND(ISNUMBER(C162),ISNUMBER(D162)),ABS(C162-D162),"")</x:f>
      </x:c>
      <x:c r="F162" t="str">
        <x:f>IF(AND(ISNUMBER(C162),ISNUMBER(D162)),IF(E162&lt;=TOL*MAX(1,ABS(D162)),"OK","DIVERGENTE"),IF(C162=D162,"OK (não calculado: "&amp;C162&amp;")","DIVERGENTE"))</x:f>
        <x:v>OK (não calculado: pendente: PC com sinal positivo)</x:v>
      </x:c>
    </x:row>
    <x:row r="163">
      <x:c r="A163" t="inlineStr">
        <x:is>
          <x:t xml:space="preserve">Composição do endividamento</x:t>
        </x:is>
      </x:c>
      <x:c r="B163" t="n">
        <x:v>6</x:v>
      </x:c>
      <x:c r="C163" s="7" t="str">
        <x:f>KPIs!I15</x:f>
        <x:v>pendente: PC com sinal positivo</x:v>
      </x:c>
      <x:c r="D163" s="7" t="inlineStr">
        <x:is>
          <x:t xml:space="preserve">pendente: PC com sinal positivo</x:t>
        </x:is>
      </x:c>
      <x:c r="E163" t="str">
        <x:f>IF(AND(ISNUMBER(C163),ISNUMBER(D163)),ABS(C163-D163),"")</x:f>
      </x:c>
      <x:c r="F163" t="str">
        <x:f>IF(AND(ISNUMBER(C163),ISNUMBER(D163)),IF(E163&lt;=TOL*MAX(1,ABS(D163)),"OK","DIVERGENTE"),IF(C163=D163,"OK (não calculado: "&amp;C163&amp;")","DIVERGENTE"))</x:f>
        <x:v>OK (não calculado: pendente: PC com sinal positivo)</x:v>
      </x:c>
    </x:row>
    <x:row r="164">
      <x:c r="A164" t="inlineStr">
        <x:is>
          <x:t xml:space="preserve">Composição do endividamento</x:t>
        </x:is>
      </x:c>
      <x:c r="B164" t="n">
        <x:v>7</x:v>
      </x:c>
      <x:c r="C164" s="7" t="str">
        <x:f>KPIs!J15</x:f>
        <x:v>pendente: PC com sinal positivo</x:v>
      </x:c>
      <x:c r="D164" s="7" t="inlineStr">
        <x:is>
          <x:t xml:space="preserve">pendente: PC com sinal positivo</x:t>
        </x:is>
      </x:c>
      <x:c r="E164" t="str">
        <x:f>IF(AND(ISNUMBER(C164),ISNUMBER(D164)),ABS(C164-D164),"")</x:f>
      </x:c>
      <x:c r="F164" t="str">
        <x:f>IF(AND(ISNUMBER(C164),ISNUMBER(D164)),IF(E164&lt;=TOL*MAX(1,ABS(D164)),"OK","DIVERGENTE"),IF(C164=D164,"OK (não calculado: "&amp;C164&amp;")","DIVERGENTE"))</x:f>
        <x:v>OK (não calculado: pendente: PC com sinal positivo)</x:v>
      </x:c>
    </x:row>
    <x:row r="165">
      <x:c r="A165" t="inlineStr">
        <x:is>
          <x:t xml:space="preserve">Composição do endividamento</x:t>
        </x:is>
      </x:c>
      <x:c r="B165" t="n">
        <x:v>8</x:v>
      </x:c>
      <x:c r="C165" s="7" t="str">
        <x:f>KPIs!K15</x:f>
        <x:v>pendente: PC com sinal positivo</x:v>
      </x:c>
      <x:c r="D165" s="7" t="inlineStr">
        <x:is>
          <x:t xml:space="preserve">pendente: PC com sinal positivo</x:t>
        </x:is>
      </x:c>
      <x:c r="E165" t="str">
        <x:f>IF(AND(ISNUMBER(C165),ISNUMBER(D165)),ABS(C165-D165),"")</x:f>
      </x:c>
      <x:c r="F165" t="str">
        <x:f>IF(AND(ISNUMBER(C165),ISNUMBER(D165)),IF(E165&lt;=TOL*MAX(1,ABS(D165)),"OK","DIVERGENTE"),IF(C165=D165,"OK (não calculado: "&amp;C165&amp;")","DIVERGENTE"))</x:f>
        <x:v>OK (não calculado: pendente: PC com sinal positivo)</x:v>
      </x:c>
    </x:row>
    <x:row r="166">
      <x:c r="A166" t="inlineStr">
        <x:is>
          <x:t xml:space="preserve">Composição do endividamento</x:t>
        </x:is>
      </x:c>
      <x:c r="B166" t="n">
        <x:v>9</x:v>
      </x:c>
      <x:c r="C166" s="7" t="str">
        <x:f>KPIs!L15</x:f>
        <x:v>pendente: PC com sinal positivo</x:v>
      </x:c>
      <x:c r="D166" s="7" t="inlineStr">
        <x:is>
          <x:t xml:space="preserve">pendente: PC com sinal positivo</x:t>
        </x:is>
      </x:c>
      <x:c r="E166" t="str">
        <x:f>IF(AND(ISNUMBER(C166),ISNUMBER(D166)),ABS(C166-D166),"")</x:f>
      </x:c>
      <x:c r="F166" t="str">
        <x:f>IF(AND(ISNUMBER(C166),ISNUMBER(D166)),IF(E166&lt;=TOL*MAX(1,ABS(D166)),"OK","DIVERGENTE"),IF(C166=D166,"OK (não calculado: "&amp;C166&amp;")","DIVERGENTE"))</x:f>
        <x:v>OK (não calculado: pendente: PC com sinal positivo)</x:v>
      </x:c>
    </x:row>
    <x:row r="167">
      <x:c r="A167" t="inlineStr">
        <x:is>
          <x:t xml:space="preserve">Composição do endividamento</x:t>
        </x:is>
      </x:c>
      <x:c r="B167" t="n">
        <x:v>10</x:v>
      </x:c>
      <x:c r="C167" s="7" t="str">
        <x:f>KPIs!M15</x:f>
        <x:v>pendente: PC com sinal positivo</x:v>
      </x:c>
      <x:c r="D167" s="7" t="inlineStr">
        <x:is>
          <x:t xml:space="preserve">pendente: PC com sinal positivo</x:t>
        </x:is>
      </x:c>
      <x:c r="E167" t="str">
        <x:f>IF(AND(ISNUMBER(C167),ISNUMBER(D167)),ABS(C167-D167),"")</x:f>
      </x:c>
      <x:c r="F167" t="str">
        <x:f>IF(AND(ISNUMBER(C167),ISNUMBER(D167)),IF(E167&lt;=TOL*MAX(1,ABS(D167)),"OK","DIVERGENTE"),IF(C167=D167,"OK (não calculado: "&amp;C167&amp;")","DIVERGENTE"))</x:f>
        <x:v>OK (não calculado: pendente: PC com sinal positivo)</x:v>
      </x:c>
    </x:row>
    <x:row r="168">
      <x:c r="A168" t="inlineStr">
        <x:is>
          <x:t xml:space="preserve">Composição do endividamento</x:t>
        </x:is>
      </x:c>
      <x:c r="B168" t="n">
        <x:v>11</x:v>
      </x:c>
      <x:c r="C168" s="7" t="str">
        <x:f>KPIs!N15</x:f>
        <x:v>pendente: PC com sinal positivo</x:v>
      </x:c>
      <x:c r="D168" s="7" t="inlineStr">
        <x:is>
          <x:t xml:space="preserve">pendente: PC com sinal positivo</x:t>
        </x:is>
      </x:c>
      <x:c r="E168" t="str">
        <x:f>IF(AND(ISNUMBER(C168),ISNUMBER(D168)),ABS(C168-D168),"")</x:f>
      </x:c>
      <x:c r="F168" t="str">
        <x:f>IF(AND(ISNUMBER(C168),ISNUMBER(D168)),IF(E168&lt;=TOL*MAX(1,ABS(D168)),"OK","DIVERGENTE"),IF(C168=D168,"OK (não calculado: "&amp;C168&amp;")","DIVERGENTE"))</x:f>
        <x:v>OK (não calculado: pendente: PC com sinal positivo)</x:v>
      </x:c>
    </x:row>
    <x:row r="169">
      <x:c r="A169" t="inlineStr">
        <x:is>
          <x:t xml:space="preserve">Composição do endividamento</x:t>
        </x:is>
      </x:c>
      <x:c r="B169" t="n">
        <x:v>12</x:v>
      </x:c>
      <x:c r="C169" s="7" t="str">
        <x:f>KPIs!O15</x:f>
        <x:v>indisponível: conta ausente</x:v>
      </x:c>
      <x:c r="D169" s="7" t="inlineStr">
        <x:is>
          <x:t xml:space="preserve">indisponível: conta ausente</x:t>
        </x:is>
      </x:c>
      <x:c r="E169" t="str">
        <x:f>IF(AND(ISNUMBER(C169),ISNUMBER(D169)),ABS(C169-D169),"")</x:f>
      </x:c>
      <x:c r="F169" t="str">
        <x:f>IF(AND(ISNUMBER(C169),ISNUMBER(D169)),IF(E169&lt;=TOL*MAX(1,ABS(D169)),"OK","DIVERGENTE"),IF(C169=D169,"OK (não calculado: "&amp;C169&amp;")","DIVERGENTE"))</x:f>
        <x:v>OK (não calculado: indisponível: conta ausente)</x:v>
      </x:c>
    </x:row>
    <x:row r="170">
      <x:c r="A170" t="inlineStr">
        <x:is>
          <x:t xml:space="preserve">EVA simplificado</x:t>
        </x:is>
      </x:c>
      <x:c r="B170" t="n">
        <x:v>1</x:v>
      </x:c>
      <x:c r="C170" s="6" t="n">
        <x:f>KPIs!D16</x:f>
        <x:v>2217334841.760396</x:v>
      </x:c>
      <x:c r="D170" s="6" t="n">
        <x:v>2217334841.760396</x:v>
      </x:c>
      <x:c r="E170" t="n">
        <x:f>IF(AND(ISNUMBER(C170),ISNUMBER(D170)),ABS(C170-D170),"")</x:f>
        <x:v>0</x:v>
      </x:c>
      <x:c r="F170" t="str">
        <x:f>IF(AND(ISNUMBER(C170),ISNUMBER(D170)),IF(E170&lt;=TOL*MAX(1,ABS(D170)),"OK","DIVERGENTE"),IF(C170=D170,"OK (não calculado: "&amp;C170&amp;")","DIVERGENTE"))</x:f>
        <x:v>OK</x:v>
      </x:c>
    </x:row>
    <x:row r="171">
      <x:c r="A171" t="inlineStr">
        <x:is>
          <x:t xml:space="preserve">EVA simplificado</x:t>
        </x:is>
      </x:c>
      <x:c r="B171" t="n">
        <x:v>2</x:v>
      </x:c>
      <x:c r="C171" s="6" t="n">
        <x:f>KPIs!E16</x:f>
        <x:v>1827167458.0887413</x:v>
      </x:c>
      <x:c r="D171" s="6" t="n">
        <x:v>1827167458.088742</x:v>
      </x:c>
      <x:c r="E171" t="n">
        <x:f>IF(AND(ISNUMBER(C171),ISNUMBER(D171)),ABS(C171-D171),"")</x:f>
        <x:v>7.152557373046875e-7</x:v>
      </x:c>
      <x:c r="F171" t="str">
        <x:f>IF(AND(ISNUMBER(C171),ISNUMBER(D171)),IF(E171&lt;=TOL*MAX(1,ABS(D171)),"OK","DIVERGENTE"),IF(C171=D171,"OK (não calculado: "&amp;C171&amp;")","DIVERGENTE"))</x:f>
        <x:v>OK</x:v>
      </x:c>
    </x:row>
    <x:row r="172">
      <x:c r="A172" t="inlineStr">
        <x:is>
          <x:t xml:space="preserve">EVA simplificado</x:t>
        </x:is>
      </x:c>
      <x:c r="B172" t="n">
        <x:v>3</x:v>
      </x:c>
      <x:c r="C172" s="6" t="n">
        <x:f>KPIs!F16</x:f>
        <x:v>1969033006.9805636</x:v>
      </x:c>
      <x:c r="D172" s="6" t="n">
        <x:v>1969033006.980564</x:v>
      </x:c>
      <x:c r="E172" t="n">
        <x:f>IF(AND(ISNUMBER(C172),ISNUMBER(D172)),ABS(C172-D172),"")</x:f>
        <x:v>4.76837158203125e-7</x:v>
      </x:c>
      <x:c r="F172" t="str">
        <x:f>IF(AND(ISNUMBER(C172),ISNUMBER(D172)),IF(E172&lt;=TOL*MAX(1,ABS(D172)),"OK","DIVERGENTE"),IF(C172=D172,"OK (não calculado: "&amp;C172&amp;")","DIVERGENTE"))</x:f>
        <x:v>OK</x:v>
      </x:c>
    </x:row>
    <x:row r="173">
      <x:c r="A173" t="inlineStr">
        <x:is>
          <x:t xml:space="preserve">EVA simplificado</x:t>
        </x:is>
      </x:c>
      <x:c r="B173" t="n">
        <x:v>4</x:v>
      </x:c>
      <x:c r="C173" s="6" t="n">
        <x:f>KPIs!G16</x:f>
        <x:v>2148482107.445259</x:v>
      </x:c>
      <x:c r="D173" s="6" t="n">
        <x:v>2148482107.445259</x:v>
      </x:c>
      <x:c r="E173" t="n">
        <x:f>IF(AND(ISNUMBER(C173),ISNUMBER(D173)),ABS(C173-D173),"")</x:f>
        <x:v>0</x:v>
      </x:c>
      <x:c r="F173" t="str">
        <x:f>IF(AND(ISNUMBER(C173),ISNUMBER(D173)),IF(E173&lt;=TOL*MAX(1,ABS(D173)),"OK","DIVERGENTE"),IF(C173=D173,"OK (não calculado: "&amp;C173&amp;")","DIVERGENTE"))</x:f>
        <x:v>OK</x:v>
      </x:c>
    </x:row>
    <x:row r="174">
      <x:c r="A174" t="inlineStr">
        <x:is>
          <x:t xml:space="preserve">EVA simplificado</x:t>
        </x:is>
      </x:c>
      <x:c r="B174" t="n">
        <x:v>5</x:v>
      </x:c>
      <x:c r="C174" s="6" t="n">
        <x:f>KPIs!H16</x:f>
        <x:v>2463748930.8292055</x:v>
      </x:c>
      <x:c r="D174" s="6" t="n">
        <x:v>2463748930.829206</x:v>
      </x:c>
      <x:c r="E174" t="n">
        <x:f>IF(AND(ISNUMBER(C174),ISNUMBER(D174)),ABS(C174-D174),"")</x:f>
        <x:v>4.76837158203125e-7</x:v>
      </x:c>
      <x:c r="F174" t="str">
        <x:f>IF(AND(ISNUMBER(C174),ISNUMBER(D174)),IF(E174&lt;=TOL*MAX(1,ABS(D174)),"OK","DIVERGENTE"),IF(C174=D174,"OK (não calculado: "&amp;C174&amp;")","DIVERGENTE"))</x:f>
        <x:v>OK</x:v>
      </x:c>
    </x:row>
    <x:row r="175">
      <x:c r="A175" t="inlineStr">
        <x:is>
          <x:t xml:space="preserve">EVA simplificado</x:t>
        </x:is>
      </x:c>
      <x:c r="B175" t="n">
        <x:v>6</x:v>
      </x:c>
      <x:c r="C175" s="6" t="n">
        <x:f>KPIs!I16</x:f>
        <x:v>2760464178.2363944</x:v>
      </x:c>
      <x:c r="D175" s="6" t="n">
        <x:v>2760464178.236394</x:v>
      </x:c>
      <x:c r="E175" t="n">
        <x:f>IF(AND(ISNUMBER(C175),ISNUMBER(D175)),ABS(C175-D175),"")</x:f>
        <x:v>4.76837158203125e-7</x:v>
      </x:c>
      <x:c r="F175" t="str">
        <x:f>IF(AND(ISNUMBER(C175),ISNUMBER(D175)),IF(E175&lt;=TOL*MAX(1,ABS(D175)),"OK","DIVERGENTE"),IF(C175=D175,"OK (não calculado: "&amp;C175&amp;")","DIVERGENTE"))</x:f>
        <x:v>OK</x:v>
      </x:c>
    </x:row>
    <x:row r="176">
      <x:c r="A176" t="inlineStr">
        <x:is>
          <x:t xml:space="preserve">EVA simplificado</x:t>
        </x:is>
      </x:c>
      <x:c r="B176" t="n">
        <x:v>7</x:v>
      </x:c>
      <x:c r="C176" s="6" t="n">
        <x:f>KPIs!J16</x:f>
        <x:v>2936393058.2658143</x:v>
      </x:c>
      <x:c r="D176" s="6" t="n">
        <x:v>2936393058.265814</x:v>
      </x:c>
      <x:c r="E176" t="n">
        <x:f>IF(AND(ISNUMBER(C176),ISNUMBER(D176)),ABS(C176-D176),"")</x:f>
        <x:v>4.76837158203125e-7</x:v>
      </x:c>
      <x:c r="F176" t="str">
        <x:f>IF(AND(ISNUMBER(C176),ISNUMBER(D176)),IF(E176&lt;=TOL*MAX(1,ABS(D176)),"OK","DIVERGENTE"),IF(C176=D176,"OK (não calculado: "&amp;C176&amp;")","DIVERGENTE"))</x:f>
        <x:v>OK</x:v>
      </x:c>
    </x:row>
    <x:row r="177">
      <x:c r="A177" t="inlineStr">
        <x:is>
          <x:t xml:space="preserve">EVA simplificado</x:t>
        </x:is>
      </x:c>
      <x:c r="B177" t="n">
        <x:v>8</x:v>
      </x:c>
      <x:c r="C177" s="6" t="n">
        <x:f>KPIs!K16</x:f>
        <x:v>3172502449.481676</x:v>
      </x:c>
      <x:c r="D177" s="6" t="n">
        <x:v>3172502449.481677</x:v>
      </x:c>
      <x:c r="E177" t="n">
        <x:f>IF(AND(ISNUMBER(C177),ISNUMBER(D177)),ABS(C177-D177),"")</x:f>
        <x:v>9.5367431640625e-7</x:v>
      </x:c>
      <x:c r="F177" t="str">
        <x:f>IF(AND(ISNUMBER(C177),ISNUMBER(D177)),IF(E177&lt;=TOL*MAX(1,ABS(D177)),"OK","DIVERGENTE"),IF(C177=D177,"OK (não calculado: "&amp;C177&amp;")","DIVERGENTE"))</x:f>
        <x:v>OK</x:v>
      </x:c>
    </x:row>
    <x:row r="178">
      <x:c r="A178" t="inlineStr">
        <x:is>
          <x:t xml:space="preserve">EVA simplificado</x:t>
        </x:is>
      </x:c>
      <x:c r="B178" t="n">
        <x:v>9</x:v>
      </x:c>
      <x:c r="C178" s="6" t="n">
        <x:f>KPIs!L16</x:f>
        <x:v>3421126943.081316</x:v>
      </x:c>
      <x:c r="D178" s="6" t="n">
        <x:v>3421126943.081316</x:v>
      </x:c>
      <x:c r="E178" t="n">
        <x:f>IF(AND(ISNUMBER(C178),ISNUMBER(D178)),ABS(C178-D178),"")</x:f>
        <x:v>0</x:v>
      </x:c>
      <x:c r="F178" t="str">
        <x:f>IF(AND(ISNUMBER(C178),ISNUMBER(D178)),IF(E178&lt;=TOL*MAX(1,ABS(D178)),"OK","DIVERGENTE"),IF(C178=D178,"OK (não calculado: "&amp;C178&amp;")","DIVERGENTE"))</x:f>
        <x:v>OK</x:v>
      </x:c>
    </x:row>
    <x:row r="179">
      <x:c r="A179" t="inlineStr">
        <x:is>
          <x:t xml:space="preserve">EVA simplificado</x:t>
        </x:is>
      </x:c>
      <x:c r="B179" t="n">
        <x:v>10</x:v>
      </x:c>
      <x:c r="C179" s="6" t="n">
        <x:f>KPIs!M16</x:f>
        <x:v>3852317503.312052</x:v>
      </x:c>
      <x:c r="D179" s="6" t="n">
        <x:v>3852317503.312052</x:v>
      </x:c>
      <x:c r="E179" t="n">
        <x:f>IF(AND(ISNUMBER(C179),ISNUMBER(D179)),ABS(C179-D179),"")</x:f>
        <x:v>0</x:v>
      </x:c>
      <x:c r="F179" t="str">
        <x:f>IF(AND(ISNUMBER(C179),ISNUMBER(D179)),IF(E179&lt;=TOL*MAX(1,ABS(D179)),"OK","DIVERGENTE"),IF(C179=D179,"OK (não calculado: "&amp;C179&amp;")","DIVERGENTE"))</x:f>
        <x:v>OK</x:v>
      </x:c>
    </x:row>
    <x:row r="180">
      <x:c r="A180" t="inlineStr">
        <x:is>
          <x:t xml:space="preserve">EVA simplificado</x:t>
        </x:is>
      </x:c>
      <x:c r="B180" t="n">
        <x:v>11</x:v>
      </x:c>
      <x:c r="C180" s="6" t="n">
        <x:f>KPIs!N16</x:f>
        <x:v>4333926262.152638</x:v>
      </x:c>
      <x:c r="D180" s="6" t="n">
        <x:v>4333926262.152638</x:v>
      </x:c>
      <x:c r="E180" t="n">
        <x:f>IF(AND(ISNUMBER(C180),ISNUMBER(D180)),ABS(C180-D180),"")</x:f>
        <x:v>0</x:v>
      </x:c>
      <x:c r="F180" t="str">
        <x:f>IF(AND(ISNUMBER(C180),ISNUMBER(D180)),IF(E180&lt;=TOL*MAX(1,ABS(D180)),"OK","DIVERGENTE"),IF(C180=D180,"OK (não calculado: "&amp;C180&amp;")","DIVERGENTE"))</x:f>
        <x:v>OK</x:v>
      </x:c>
    </x:row>
    <x:row r="181">
      <x:c r="A181" t="inlineStr">
        <x:is>
          <x:t xml:space="preserve">EVA simplificado</x:t>
        </x:is>
      </x:c>
      <x:c r="B181" t="n">
        <x:v>12</x:v>
      </x:c>
      <x:c r="C181" s="6" t="str">
        <x:f>KPIs!O16</x:f>
        <x:v>indisponível: conta ausente</x:v>
      </x:c>
      <x:c r="D181" s="6" t="inlineStr">
        <x:is>
          <x:t xml:space="preserve">indisponível: conta ausente</x:t>
        </x:is>
      </x:c>
      <x:c r="E181" t="str">
        <x:f>IF(AND(ISNUMBER(C181),ISNUMBER(D181)),ABS(C181-D181),"")</x:f>
      </x:c>
      <x:c r="F181" t="str">
        <x:f>IF(AND(ISNUMBER(C181),ISNUMBER(D181)),IF(E181&lt;=TOL*MAX(1,ABS(D181)),"OK","DIVERGENTE"),IF(C181=D181,"OK (não calculado: "&amp;C181&amp;")","DIVERGENTE"))</x:f>
        <x:v>OK (não calculado: indisponível: conta ausente)</x:v>
      </x:c>
    </x:row>
    <x:row r="182">
      <x:c r="A182" t="inlineStr">
        <x:is>
          <x:t xml:space="preserve">CAC simulado</x:t>
        </x:is>
      </x:c>
      <x:c r="B182" t="n">
        <x:v>1</x:v>
      </x:c>
      <x:c r="C182" s="6" t="n">
        <x:f>KPIs!D17</x:f>
        <x:v>4000</x:v>
      </x:c>
      <x:c r="D182" s="6" t="n">
        <x:v>4000</x:v>
      </x:c>
      <x:c r="E182" t="n">
        <x:f>IF(AND(ISNUMBER(C182),ISNUMBER(D182)),ABS(C182-D182),"")</x:f>
        <x:v>0</x:v>
      </x:c>
      <x:c r="F182" t="str">
        <x:f>IF(AND(ISNUMBER(C182),ISNUMBER(D182)),IF(E182&lt;=TOL*MAX(1,ABS(D182)),"OK","DIVERGENTE"),IF(C182=D182,"OK (não calculado: "&amp;C182&amp;")","DIVERGENTE"))</x:f>
        <x:v>OK</x:v>
      </x:c>
    </x:row>
    <x:row r="183">
      <x:c r="A183" t="inlineStr">
        <x:is>
          <x:t xml:space="preserve">CAC simulado</x:t>
        </x:is>
      </x:c>
      <x:c r="B183" t="n">
        <x:v>2</x:v>
      </x:c>
      <x:c r="C183" s="6" t="n">
        <x:f>KPIs!E17</x:f>
        <x:v>4000</x:v>
      </x:c>
      <x:c r="D183" s="6" t="n">
        <x:v>4000</x:v>
      </x:c>
      <x:c r="E183" t="n">
        <x:f>IF(AND(ISNUMBER(C183),ISNUMBER(D183)),ABS(C183-D183),"")</x:f>
        <x:v>0</x:v>
      </x:c>
      <x:c r="F183" t="str">
        <x:f>IF(AND(ISNUMBER(C183),ISNUMBER(D183)),IF(E183&lt;=TOL*MAX(1,ABS(D183)),"OK","DIVERGENTE"),IF(C183=D183,"OK (não calculado: "&amp;C183&amp;")","DIVERGENTE"))</x:f>
        <x:v>OK</x:v>
      </x:c>
    </x:row>
    <x:row r="184">
      <x:c r="A184" t="inlineStr">
        <x:is>
          <x:t xml:space="preserve">CAC simulado</x:t>
        </x:is>
      </x:c>
      <x:c r="B184" t="n">
        <x:v>3</x:v>
      </x:c>
      <x:c r="C184" s="6" t="n">
        <x:f>KPIs!F17</x:f>
        <x:v>4000</x:v>
      </x:c>
      <x:c r="D184" s="6" t="n">
        <x:v>4000</x:v>
      </x:c>
      <x:c r="E184" t="n">
        <x:f>IF(AND(ISNUMBER(C184),ISNUMBER(D184)),ABS(C184-D184),"")</x:f>
        <x:v>0</x:v>
      </x:c>
      <x:c r="F184" t="str">
        <x:f>IF(AND(ISNUMBER(C184),ISNUMBER(D184)),IF(E184&lt;=TOL*MAX(1,ABS(D184)),"OK","DIVERGENTE"),IF(C184=D184,"OK (não calculado: "&amp;C184&amp;")","DIVERGENTE"))</x:f>
        <x:v>OK</x:v>
      </x:c>
    </x:row>
    <x:row r="185">
      <x:c r="A185" t="inlineStr">
        <x:is>
          <x:t xml:space="preserve">CAC simulado</x:t>
        </x:is>
      </x:c>
      <x:c r="B185" t="n">
        <x:v>4</x:v>
      </x:c>
      <x:c r="C185" s="6" t="n">
        <x:f>KPIs!G17</x:f>
        <x:v>4000</x:v>
      </x:c>
      <x:c r="D185" s="6" t="n">
        <x:v>4000</x:v>
      </x:c>
      <x:c r="E185" t="n">
        <x:f>IF(AND(ISNUMBER(C185),ISNUMBER(D185)),ABS(C185-D185),"")</x:f>
        <x:v>0</x:v>
      </x:c>
      <x:c r="F185" t="str">
        <x:f>IF(AND(ISNUMBER(C185),ISNUMBER(D185)),IF(E185&lt;=TOL*MAX(1,ABS(D185)),"OK","DIVERGENTE"),IF(C185=D185,"OK (não calculado: "&amp;C185&amp;")","DIVERGENTE"))</x:f>
        <x:v>OK</x:v>
      </x:c>
    </x:row>
    <x:row r="186">
      <x:c r="A186" t="inlineStr">
        <x:is>
          <x:t xml:space="preserve">CAC simulado</x:t>
        </x:is>
      </x:c>
      <x:c r="B186" t="n">
        <x:v>5</x:v>
      </x:c>
      <x:c r="C186" s="6" t="n">
        <x:f>KPIs!H17</x:f>
        <x:v>4000</x:v>
      </x:c>
      <x:c r="D186" s="6" t="n">
        <x:v>4000</x:v>
      </x:c>
      <x:c r="E186" t="n">
        <x:f>IF(AND(ISNUMBER(C186),ISNUMBER(D186)),ABS(C186-D186),"")</x:f>
        <x:v>0</x:v>
      </x:c>
      <x:c r="F186" t="str">
        <x:f>IF(AND(ISNUMBER(C186),ISNUMBER(D186)),IF(E186&lt;=TOL*MAX(1,ABS(D186)),"OK","DIVERGENTE"),IF(C186=D186,"OK (não calculado: "&amp;C186&amp;")","DIVERGENTE"))</x:f>
        <x:v>OK</x:v>
      </x:c>
    </x:row>
    <x:row r="187">
      <x:c r="A187" t="inlineStr">
        <x:is>
          <x:t xml:space="preserve">CAC simulado</x:t>
        </x:is>
      </x:c>
      <x:c r="B187" t="n">
        <x:v>6</x:v>
      </x:c>
      <x:c r="C187" s="6" t="n">
        <x:f>KPIs!I17</x:f>
        <x:v>4000</x:v>
      </x:c>
      <x:c r="D187" s="6" t="n">
        <x:v>4000</x:v>
      </x:c>
      <x:c r="E187" t="n">
        <x:f>IF(AND(ISNUMBER(C187),ISNUMBER(D187)),ABS(C187-D187),"")</x:f>
        <x:v>0</x:v>
      </x:c>
      <x:c r="F187" t="str">
        <x:f>IF(AND(ISNUMBER(C187),ISNUMBER(D187)),IF(E187&lt;=TOL*MAX(1,ABS(D187)),"OK","DIVERGENTE"),IF(C187=D187,"OK (não calculado: "&amp;C187&amp;")","DIVERGENTE"))</x:f>
        <x:v>OK</x:v>
      </x:c>
    </x:row>
    <x:row r="188">
      <x:c r="A188" t="inlineStr">
        <x:is>
          <x:t xml:space="preserve">CAC simulado</x:t>
        </x:is>
      </x:c>
      <x:c r="B188" t="n">
        <x:v>7</x:v>
      </x:c>
      <x:c r="C188" s="6" t="n">
        <x:f>KPIs!J17</x:f>
        <x:v>4000</x:v>
      </x:c>
      <x:c r="D188" s="6" t="n">
        <x:v>4000</x:v>
      </x:c>
      <x:c r="E188" t="n">
        <x:f>IF(AND(ISNUMBER(C188),ISNUMBER(D188)),ABS(C188-D188),"")</x:f>
        <x:v>0</x:v>
      </x:c>
      <x:c r="F188" t="str">
        <x:f>IF(AND(ISNUMBER(C188),ISNUMBER(D188)),IF(E188&lt;=TOL*MAX(1,ABS(D188)),"OK","DIVERGENTE"),IF(C188=D188,"OK (não calculado: "&amp;C188&amp;")","DIVERGENTE"))</x:f>
        <x:v>OK</x:v>
      </x:c>
    </x:row>
    <x:row r="189">
      <x:c r="A189" t="inlineStr">
        <x:is>
          <x:t xml:space="preserve">CAC simulado</x:t>
        </x:is>
      </x:c>
      <x:c r="B189" t="n">
        <x:v>8</x:v>
      </x:c>
      <x:c r="C189" s="6" t="n">
        <x:f>KPIs!K17</x:f>
        <x:v>4000</x:v>
      </x:c>
      <x:c r="D189" s="6" t="n">
        <x:v>4000</x:v>
      </x:c>
      <x:c r="E189" t="n">
        <x:f>IF(AND(ISNUMBER(C189),ISNUMBER(D189)),ABS(C189-D189),"")</x:f>
        <x:v>0</x:v>
      </x:c>
      <x:c r="F189" t="str">
        <x:f>IF(AND(ISNUMBER(C189),ISNUMBER(D189)),IF(E189&lt;=TOL*MAX(1,ABS(D189)),"OK","DIVERGENTE"),IF(C189=D189,"OK (não calculado: "&amp;C189&amp;")","DIVERGENTE"))</x:f>
        <x:v>OK</x:v>
      </x:c>
    </x:row>
    <x:row r="190">
      <x:c r="A190" t="inlineStr">
        <x:is>
          <x:t xml:space="preserve">CAC simulado</x:t>
        </x:is>
      </x:c>
      <x:c r="B190" t="n">
        <x:v>9</x:v>
      </x:c>
      <x:c r="C190" s="6" t="n">
        <x:f>KPIs!L17</x:f>
        <x:v>4000</x:v>
      </x:c>
      <x:c r="D190" s="6" t="n">
        <x:v>4000</x:v>
      </x:c>
      <x:c r="E190" t="n">
        <x:f>IF(AND(ISNUMBER(C190),ISNUMBER(D190)),ABS(C190-D190),"")</x:f>
        <x:v>0</x:v>
      </x:c>
      <x:c r="F190" t="str">
        <x:f>IF(AND(ISNUMBER(C190),ISNUMBER(D190)),IF(E190&lt;=TOL*MAX(1,ABS(D190)),"OK","DIVERGENTE"),IF(C190=D190,"OK (não calculado: "&amp;C190&amp;")","DIVERGENTE"))</x:f>
        <x:v>OK</x:v>
      </x:c>
    </x:row>
    <x:row r="191">
      <x:c r="A191" t="inlineStr">
        <x:is>
          <x:t xml:space="preserve">CAC simulado</x:t>
        </x:is>
      </x:c>
      <x:c r="B191" t="n">
        <x:v>10</x:v>
      </x:c>
      <x:c r="C191" s="6" t="n">
        <x:f>KPIs!M17</x:f>
        <x:v>4000</x:v>
      </x:c>
      <x:c r="D191" s="6" t="n">
        <x:v>4000</x:v>
      </x:c>
      <x:c r="E191" t="n">
        <x:f>IF(AND(ISNUMBER(C191),ISNUMBER(D191)),ABS(C191-D191),"")</x:f>
        <x:v>0</x:v>
      </x:c>
      <x:c r="F191" t="str">
        <x:f>IF(AND(ISNUMBER(C191),ISNUMBER(D191)),IF(E191&lt;=TOL*MAX(1,ABS(D191)),"OK","DIVERGENTE"),IF(C191=D191,"OK (não calculado: "&amp;C191&amp;")","DIVERGENTE"))</x:f>
        <x:v>OK</x:v>
      </x:c>
    </x:row>
    <x:row r="192">
      <x:c r="A192" t="inlineStr">
        <x:is>
          <x:t xml:space="preserve">CAC simulado</x:t>
        </x:is>
      </x:c>
      <x:c r="B192" t="n">
        <x:v>11</x:v>
      </x:c>
      <x:c r="C192" s="6" t="n">
        <x:f>KPIs!N17</x:f>
        <x:v>4000</x:v>
      </x:c>
      <x:c r="D192" s="6" t="n">
        <x:v>4000</x:v>
      </x:c>
      <x:c r="E192" t="n">
        <x:f>IF(AND(ISNUMBER(C192),ISNUMBER(D192)),ABS(C192-D192),"")</x:f>
        <x:v>0</x:v>
      </x:c>
      <x:c r="F192" t="str">
        <x:f>IF(AND(ISNUMBER(C192),ISNUMBER(D192)),IF(E192&lt;=TOL*MAX(1,ABS(D192)),"OK","DIVERGENTE"),IF(C192=D192,"OK (não calculado: "&amp;C192&amp;")","DIVERGENTE"))</x:f>
        <x:v>OK</x:v>
      </x:c>
    </x:row>
    <x:row r="193">
      <x:c r="A193" t="inlineStr">
        <x:is>
          <x:t xml:space="preserve">CAC simulado</x:t>
        </x:is>
      </x:c>
      <x:c r="B193" t="n">
        <x:v>12</x:v>
      </x:c>
      <x:c r="C193" s="6" t="n">
        <x:f>KPIs!O17</x:f>
        <x:v>4000</x:v>
      </x:c>
      <x:c r="D193" s="6" t="n">
        <x:v>4000</x:v>
      </x:c>
      <x:c r="E193" t="n">
        <x:f>IF(AND(ISNUMBER(C193),ISNUMBER(D193)),ABS(C193-D193),"")</x:f>
        <x:v>0</x:v>
      </x:c>
      <x:c r="F193" t="str">
        <x:f>IF(AND(ISNUMBER(C193),ISNUMBER(D193)),IF(E193&lt;=TOL*MAX(1,ABS(D193)),"OK","DIVERGENTE"),IF(C193=D193,"OK (não calculado: "&amp;C193&amp;")","DIVERGENTE"))</x:f>
        <x:v>OK</x:v>
      </x:c>
    </x:row>
    <x:row r="194">
      <x:c r="A194" t="inlineStr">
        <x:is>
          <x:t xml:space="preserve">LTV simulado</x:t>
        </x:is>
      </x:c>
      <x:c r="B194" t="n">
        <x:v>1</x:v>
      </x:c>
      <x:c r="C194" s="6" t="n">
        <x:f>KPIs!D18</x:f>
        <x:v>45000</x:v>
      </x:c>
      <x:c r="D194" s="6" t="n">
        <x:v>45000</x:v>
      </x:c>
      <x:c r="E194" t="n">
        <x:f>IF(AND(ISNUMBER(C194),ISNUMBER(D194)),ABS(C194-D194),"")</x:f>
        <x:v>0</x:v>
      </x:c>
      <x:c r="F194" t="str">
        <x:f>IF(AND(ISNUMBER(C194),ISNUMBER(D194)),IF(E194&lt;=TOL*MAX(1,ABS(D194)),"OK","DIVERGENTE"),IF(C194=D194,"OK (não calculado: "&amp;C194&amp;")","DIVERGENTE"))</x:f>
        <x:v>OK</x:v>
      </x:c>
    </x:row>
    <x:row r="195">
      <x:c r="A195" t="inlineStr">
        <x:is>
          <x:t xml:space="preserve">LTV simulado</x:t>
        </x:is>
      </x:c>
      <x:c r="B195" t="n">
        <x:v>2</x:v>
      </x:c>
      <x:c r="C195" s="6" t="n">
        <x:f>KPIs!E18</x:f>
        <x:v>45000</x:v>
      </x:c>
      <x:c r="D195" s="6" t="n">
        <x:v>45000</x:v>
      </x:c>
      <x:c r="E195" t="n">
        <x:f>IF(AND(ISNUMBER(C195),ISNUMBER(D195)),ABS(C195-D195),"")</x:f>
        <x:v>0</x:v>
      </x:c>
      <x:c r="F195" t="str">
        <x:f>IF(AND(ISNUMBER(C195),ISNUMBER(D195)),IF(E195&lt;=TOL*MAX(1,ABS(D195)),"OK","DIVERGENTE"),IF(C195=D195,"OK (não calculado: "&amp;C195&amp;")","DIVERGENTE"))</x:f>
        <x:v>OK</x:v>
      </x:c>
    </x:row>
    <x:row r="196">
      <x:c r="A196" t="inlineStr">
        <x:is>
          <x:t xml:space="preserve">LTV simulado</x:t>
        </x:is>
      </x:c>
      <x:c r="B196" t="n">
        <x:v>3</x:v>
      </x:c>
      <x:c r="C196" s="6" t="n">
        <x:f>KPIs!F18</x:f>
        <x:v>45000</x:v>
      </x:c>
      <x:c r="D196" s="6" t="n">
        <x:v>45000</x:v>
      </x:c>
      <x:c r="E196" t="n">
        <x:f>IF(AND(ISNUMBER(C196),ISNUMBER(D196)),ABS(C196-D196),"")</x:f>
        <x:v>0</x:v>
      </x:c>
      <x:c r="F196" t="str">
        <x:f>IF(AND(ISNUMBER(C196),ISNUMBER(D196)),IF(E196&lt;=TOL*MAX(1,ABS(D196)),"OK","DIVERGENTE"),IF(C196=D196,"OK (não calculado: "&amp;C196&amp;")","DIVERGENTE"))</x:f>
        <x:v>OK</x:v>
      </x:c>
    </x:row>
    <x:row r="197">
      <x:c r="A197" t="inlineStr">
        <x:is>
          <x:t xml:space="preserve">LTV simulado</x:t>
        </x:is>
      </x:c>
      <x:c r="B197" t="n">
        <x:v>4</x:v>
      </x:c>
      <x:c r="C197" s="6" t="n">
        <x:f>KPIs!G18</x:f>
        <x:v>45000</x:v>
      </x:c>
      <x:c r="D197" s="6" t="n">
        <x:v>45000</x:v>
      </x:c>
      <x:c r="E197" t="n">
        <x:f>IF(AND(ISNUMBER(C197),ISNUMBER(D197)),ABS(C197-D197),"")</x:f>
        <x:v>0</x:v>
      </x:c>
      <x:c r="F197" t="str">
        <x:f>IF(AND(ISNUMBER(C197),ISNUMBER(D197)),IF(E197&lt;=TOL*MAX(1,ABS(D197)),"OK","DIVERGENTE"),IF(C197=D197,"OK (não calculado: "&amp;C197&amp;")","DIVERGENTE"))</x:f>
        <x:v>OK</x:v>
      </x:c>
    </x:row>
    <x:row r="198">
      <x:c r="A198" t="inlineStr">
        <x:is>
          <x:t xml:space="preserve">LTV simulado</x:t>
        </x:is>
      </x:c>
      <x:c r="B198" t="n">
        <x:v>5</x:v>
      </x:c>
      <x:c r="C198" s="6" t="n">
        <x:f>KPIs!H18</x:f>
        <x:v>45000</x:v>
      </x:c>
      <x:c r="D198" s="6" t="n">
        <x:v>45000</x:v>
      </x:c>
      <x:c r="E198" t="n">
        <x:f>IF(AND(ISNUMBER(C198),ISNUMBER(D198)),ABS(C198-D198),"")</x:f>
        <x:v>0</x:v>
      </x:c>
      <x:c r="F198" t="str">
        <x:f>IF(AND(ISNUMBER(C198),ISNUMBER(D198)),IF(E198&lt;=TOL*MAX(1,ABS(D198)),"OK","DIVERGENTE"),IF(C198=D198,"OK (não calculado: "&amp;C198&amp;")","DIVERGENTE"))</x:f>
        <x:v>OK</x:v>
      </x:c>
    </x:row>
    <x:row r="199">
      <x:c r="A199" t="inlineStr">
        <x:is>
          <x:t xml:space="preserve">LTV simulado</x:t>
        </x:is>
      </x:c>
      <x:c r="B199" t="n">
        <x:v>6</x:v>
      </x:c>
      <x:c r="C199" s="6" t="n">
        <x:f>KPIs!I18</x:f>
        <x:v>45000</x:v>
      </x:c>
      <x:c r="D199" s="6" t="n">
        <x:v>45000</x:v>
      </x:c>
      <x:c r="E199" t="n">
        <x:f>IF(AND(ISNUMBER(C199),ISNUMBER(D199)),ABS(C199-D199),"")</x:f>
        <x:v>0</x:v>
      </x:c>
      <x:c r="F199" t="str">
        <x:f>IF(AND(ISNUMBER(C199),ISNUMBER(D199)),IF(E199&lt;=TOL*MAX(1,ABS(D199)),"OK","DIVERGENTE"),IF(C199=D199,"OK (não calculado: "&amp;C199&amp;")","DIVERGENTE"))</x:f>
        <x:v>OK</x:v>
      </x:c>
    </x:row>
    <x:row r="200">
      <x:c r="A200" t="inlineStr">
        <x:is>
          <x:t xml:space="preserve">LTV simulado</x:t>
        </x:is>
      </x:c>
      <x:c r="B200" t="n">
        <x:v>7</x:v>
      </x:c>
      <x:c r="C200" s="6" t="n">
        <x:f>KPIs!J18</x:f>
        <x:v>45000</x:v>
      </x:c>
      <x:c r="D200" s="6" t="n">
        <x:v>45000</x:v>
      </x:c>
      <x:c r="E200" t="n">
        <x:f>IF(AND(ISNUMBER(C200),ISNUMBER(D200)),ABS(C200-D200),"")</x:f>
        <x:v>0</x:v>
      </x:c>
      <x:c r="F200" t="str">
        <x:f>IF(AND(ISNUMBER(C200),ISNUMBER(D200)),IF(E200&lt;=TOL*MAX(1,ABS(D200)),"OK","DIVERGENTE"),IF(C200=D200,"OK (não calculado: "&amp;C200&amp;")","DIVERGENTE"))</x:f>
        <x:v>OK</x:v>
      </x:c>
    </x:row>
    <x:row r="201">
      <x:c r="A201" t="inlineStr">
        <x:is>
          <x:t xml:space="preserve">LTV simulado</x:t>
        </x:is>
      </x:c>
      <x:c r="B201" t="n">
        <x:v>8</x:v>
      </x:c>
      <x:c r="C201" s="6" t="n">
        <x:f>KPIs!K18</x:f>
        <x:v>45000</x:v>
      </x:c>
      <x:c r="D201" s="6" t="n">
        <x:v>45000</x:v>
      </x:c>
      <x:c r="E201" t="n">
        <x:f>IF(AND(ISNUMBER(C201),ISNUMBER(D201)),ABS(C201-D201),"")</x:f>
        <x:v>0</x:v>
      </x:c>
      <x:c r="F201" t="str">
        <x:f>IF(AND(ISNUMBER(C201),ISNUMBER(D201)),IF(E201&lt;=TOL*MAX(1,ABS(D201)),"OK","DIVERGENTE"),IF(C201=D201,"OK (não calculado: "&amp;C201&amp;")","DIVERGENTE"))</x:f>
        <x:v>OK</x:v>
      </x:c>
    </x:row>
    <x:row r="202">
      <x:c r="A202" t="inlineStr">
        <x:is>
          <x:t xml:space="preserve">LTV simulado</x:t>
        </x:is>
      </x:c>
      <x:c r="B202" t="n">
        <x:v>9</x:v>
      </x:c>
      <x:c r="C202" s="6" t="n">
        <x:f>KPIs!L18</x:f>
        <x:v>45000</x:v>
      </x:c>
      <x:c r="D202" s="6" t="n">
        <x:v>45000</x:v>
      </x:c>
      <x:c r="E202" t="n">
        <x:f>IF(AND(ISNUMBER(C202),ISNUMBER(D202)),ABS(C202-D202),"")</x:f>
        <x:v>0</x:v>
      </x:c>
      <x:c r="F202" t="str">
        <x:f>IF(AND(ISNUMBER(C202),ISNUMBER(D202)),IF(E202&lt;=TOL*MAX(1,ABS(D202)),"OK","DIVERGENTE"),IF(C202=D202,"OK (não calculado: "&amp;C202&amp;")","DIVERGENTE"))</x:f>
        <x:v>OK</x:v>
      </x:c>
    </x:row>
    <x:row r="203">
      <x:c r="A203" t="inlineStr">
        <x:is>
          <x:t xml:space="preserve">LTV simulado</x:t>
        </x:is>
      </x:c>
      <x:c r="B203" t="n">
        <x:v>10</x:v>
      </x:c>
      <x:c r="C203" s="6" t="n">
        <x:f>KPIs!M18</x:f>
        <x:v>45000</x:v>
      </x:c>
      <x:c r="D203" s="6" t="n">
        <x:v>45000</x:v>
      </x:c>
      <x:c r="E203" t="n">
        <x:f>IF(AND(ISNUMBER(C203),ISNUMBER(D203)),ABS(C203-D203),"")</x:f>
        <x:v>0</x:v>
      </x:c>
      <x:c r="F203" t="str">
        <x:f>IF(AND(ISNUMBER(C203),ISNUMBER(D203)),IF(E203&lt;=TOL*MAX(1,ABS(D203)),"OK","DIVERGENTE"),IF(C203=D203,"OK (não calculado: "&amp;C203&amp;")","DIVERGENTE"))</x:f>
        <x:v>OK</x:v>
      </x:c>
    </x:row>
    <x:row r="204">
      <x:c r="A204" t="inlineStr">
        <x:is>
          <x:t xml:space="preserve">LTV simulado</x:t>
        </x:is>
      </x:c>
      <x:c r="B204" t="n">
        <x:v>11</x:v>
      </x:c>
      <x:c r="C204" s="6" t="n">
        <x:f>KPIs!N18</x:f>
        <x:v>45000</x:v>
      </x:c>
      <x:c r="D204" s="6" t="n">
        <x:v>45000</x:v>
      </x:c>
      <x:c r="E204" t="n">
        <x:f>IF(AND(ISNUMBER(C204),ISNUMBER(D204)),ABS(C204-D204),"")</x:f>
        <x:v>0</x:v>
      </x:c>
      <x:c r="F204" t="str">
        <x:f>IF(AND(ISNUMBER(C204),ISNUMBER(D204)),IF(E204&lt;=TOL*MAX(1,ABS(D204)),"OK","DIVERGENTE"),IF(C204=D204,"OK (não calculado: "&amp;C204&amp;")","DIVERGENTE"))</x:f>
        <x:v>OK</x:v>
      </x:c>
    </x:row>
    <x:row r="205">
      <x:c r="A205" t="inlineStr">
        <x:is>
          <x:t xml:space="preserve">LTV simulado</x:t>
        </x:is>
      </x:c>
      <x:c r="B205" t="n">
        <x:v>12</x:v>
      </x:c>
      <x:c r="C205" s="6" t="n">
        <x:f>KPIs!O18</x:f>
        <x:v>45000</x:v>
      </x:c>
      <x:c r="D205" s="6" t="n">
        <x:v>45000</x:v>
      </x:c>
      <x:c r="E205" t="n">
        <x:f>IF(AND(ISNUMBER(C205),ISNUMBER(D205)),ABS(C205-D205),"")</x:f>
        <x:v>0</x:v>
      </x:c>
      <x:c r="F205" t="str">
        <x:f>IF(AND(ISNUMBER(C205),ISNUMBER(D205)),IF(E205&lt;=TOL*MAX(1,ABS(D205)),"OK","DIVERGENTE"),IF(C205=D205,"OK (não calculado: "&amp;C205&amp;")","DIVERGENTE"))</x:f>
        <x:v>OK</x:v>
      </x:c>
    </x:row>
    <x:row r="206">
      <x:c r="A206" t="inlineStr">
        <x:is>
          <x:t xml:space="preserve">LTV / CAC</x:t>
        </x:is>
      </x:c>
      <x:c r="B206" t="n">
        <x:v>1</x:v>
      </x:c>
      <x:c r="C206" s="9" t="n">
        <x:f>KPIs!D19</x:f>
        <x:v>11.25</x:v>
      </x:c>
      <x:c r="D206" s="9" t="n">
        <x:v>11.25</x:v>
      </x:c>
      <x:c r="E206" t="n">
        <x:f>IF(AND(ISNUMBER(C206),ISNUMBER(D206)),ABS(C206-D206),"")</x:f>
        <x:v>0</x:v>
      </x:c>
      <x:c r="F206" t="str">
        <x:f>IF(AND(ISNUMBER(C206),ISNUMBER(D206)),IF(E206&lt;=TOL*MAX(1,ABS(D206)),"OK","DIVERGENTE"),IF(C206=D206,"OK (não calculado: "&amp;C206&amp;")","DIVERGENTE"))</x:f>
        <x:v>OK</x:v>
      </x:c>
    </x:row>
    <x:row r="207">
      <x:c r="A207" t="inlineStr">
        <x:is>
          <x:t xml:space="preserve">LTV / CAC</x:t>
        </x:is>
      </x:c>
      <x:c r="B207" t="n">
        <x:v>2</x:v>
      </x:c>
      <x:c r="C207" s="9" t="n">
        <x:f>KPIs!E19</x:f>
        <x:v>11.25</x:v>
      </x:c>
      <x:c r="D207" s="9" t="n">
        <x:v>11.25</x:v>
      </x:c>
      <x:c r="E207" t="n">
        <x:f>IF(AND(ISNUMBER(C207),ISNUMBER(D207)),ABS(C207-D207),"")</x:f>
        <x:v>0</x:v>
      </x:c>
      <x:c r="F207" t="str">
        <x:f>IF(AND(ISNUMBER(C207),ISNUMBER(D207)),IF(E207&lt;=TOL*MAX(1,ABS(D207)),"OK","DIVERGENTE"),IF(C207=D207,"OK (não calculado: "&amp;C207&amp;")","DIVERGENTE"))</x:f>
        <x:v>OK</x:v>
      </x:c>
    </x:row>
    <x:row r="208">
      <x:c r="A208" t="inlineStr">
        <x:is>
          <x:t xml:space="preserve">LTV / CAC</x:t>
        </x:is>
      </x:c>
      <x:c r="B208" t="n">
        <x:v>3</x:v>
      </x:c>
      <x:c r="C208" s="9" t="n">
        <x:f>KPIs!F19</x:f>
        <x:v>11.25</x:v>
      </x:c>
      <x:c r="D208" s="9" t="n">
        <x:v>11.25</x:v>
      </x:c>
      <x:c r="E208" t="n">
        <x:f>IF(AND(ISNUMBER(C208),ISNUMBER(D208)),ABS(C208-D208),"")</x:f>
        <x:v>0</x:v>
      </x:c>
      <x:c r="F208" t="str">
        <x:f>IF(AND(ISNUMBER(C208),ISNUMBER(D208)),IF(E208&lt;=TOL*MAX(1,ABS(D208)),"OK","DIVERGENTE"),IF(C208=D208,"OK (não calculado: "&amp;C208&amp;")","DIVERGENTE"))</x:f>
        <x:v>OK</x:v>
      </x:c>
    </x:row>
    <x:row r="209">
      <x:c r="A209" t="inlineStr">
        <x:is>
          <x:t xml:space="preserve">LTV / CAC</x:t>
        </x:is>
      </x:c>
      <x:c r="B209" t="n">
        <x:v>4</x:v>
      </x:c>
      <x:c r="C209" s="9" t="n">
        <x:f>KPIs!G19</x:f>
        <x:v>11.25</x:v>
      </x:c>
      <x:c r="D209" s="9" t="n">
        <x:v>11.25</x:v>
      </x:c>
      <x:c r="E209" t="n">
        <x:f>IF(AND(ISNUMBER(C209),ISNUMBER(D209)),ABS(C209-D209),"")</x:f>
        <x:v>0</x:v>
      </x:c>
      <x:c r="F209" t="str">
        <x:f>IF(AND(ISNUMBER(C209),ISNUMBER(D209)),IF(E209&lt;=TOL*MAX(1,ABS(D209)),"OK","DIVERGENTE"),IF(C209=D209,"OK (não calculado: "&amp;C209&amp;")","DIVERGENTE"))</x:f>
        <x:v>OK</x:v>
      </x:c>
    </x:row>
    <x:row r="210">
      <x:c r="A210" t="inlineStr">
        <x:is>
          <x:t xml:space="preserve">LTV / CAC</x:t>
        </x:is>
      </x:c>
      <x:c r="B210" t="n">
        <x:v>5</x:v>
      </x:c>
      <x:c r="C210" s="9" t="n">
        <x:f>KPIs!H19</x:f>
        <x:v>11.25</x:v>
      </x:c>
      <x:c r="D210" s="9" t="n">
        <x:v>11.25</x:v>
      </x:c>
      <x:c r="E210" t="n">
        <x:f>IF(AND(ISNUMBER(C210),ISNUMBER(D210)),ABS(C210-D210),"")</x:f>
        <x:v>0</x:v>
      </x:c>
      <x:c r="F210" t="str">
        <x:f>IF(AND(ISNUMBER(C210),ISNUMBER(D210)),IF(E210&lt;=TOL*MAX(1,ABS(D210)),"OK","DIVERGENTE"),IF(C210=D210,"OK (não calculado: "&amp;C210&amp;")","DIVERGENTE"))</x:f>
        <x:v>OK</x:v>
      </x:c>
    </x:row>
    <x:row r="211">
      <x:c r="A211" t="inlineStr">
        <x:is>
          <x:t xml:space="preserve">LTV / CAC</x:t>
        </x:is>
      </x:c>
      <x:c r="B211" t="n">
        <x:v>6</x:v>
      </x:c>
      <x:c r="C211" s="9" t="n">
        <x:f>KPIs!I19</x:f>
        <x:v>11.25</x:v>
      </x:c>
      <x:c r="D211" s="9" t="n">
        <x:v>11.25</x:v>
      </x:c>
      <x:c r="E211" t="n">
        <x:f>IF(AND(ISNUMBER(C211),ISNUMBER(D211)),ABS(C211-D211),"")</x:f>
        <x:v>0</x:v>
      </x:c>
      <x:c r="F211" t="str">
        <x:f>IF(AND(ISNUMBER(C211),ISNUMBER(D211)),IF(E211&lt;=TOL*MAX(1,ABS(D211)),"OK","DIVERGENTE"),IF(C211=D211,"OK (não calculado: "&amp;C211&amp;")","DIVERGENTE"))</x:f>
        <x:v>OK</x:v>
      </x:c>
    </x:row>
    <x:row r="212">
      <x:c r="A212" t="inlineStr">
        <x:is>
          <x:t xml:space="preserve">LTV / CAC</x:t>
        </x:is>
      </x:c>
      <x:c r="B212" t="n">
        <x:v>7</x:v>
      </x:c>
      <x:c r="C212" s="9" t="n">
        <x:f>KPIs!J19</x:f>
        <x:v>11.25</x:v>
      </x:c>
      <x:c r="D212" s="9" t="n">
        <x:v>11.25</x:v>
      </x:c>
      <x:c r="E212" t="n">
        <x:f>IF(AND(ISNUMBER(C212),ISNUMBER(D212)),ABS(C212-D212),"")</x:f>
        <x:v>0</x:v>
      </x:c>
      <x:c r="F212" t="str">
        <x:f>IF(AND(ISNUMBER(C212),ISNUMBER(D212)),IF(E212&lt;=TOL*MAX(1,ABS(D212)),"OK","DIVERGENTE"),IF(C212=D212,"OK (não calculado: "&amp;C212&amp;")","DIVERGENTE"))</x:f>
        <x:v>OK</x:v>
      </x:c>
    </x:row>
    <x:row r="213">
      <x:c r="A213" t="inlineStr">
        <x:is>
          <x:t xml:space="preserve">LTV / CAC</x:t>
        </x:is>
      </x:c>
      <x:c r="B213" t="n">
        <x:v>8</x:v>
      </x:c>
      <x:c r="C213" s="9" t="n">
        <x:f>KPIs!K19</x:f>
        <x:v>11.25</x:v>
      </x:c>
      <x:c r="D213" s="9" t="n">
        <x:v>11.25</x:v>
      </x:c>
      <x:c r="E213" t="n">
        <x:f>IF(AND(ISNUMBER(C213),ISNUMBER(D213)),ABS(C213-D213),"")</x:f>
        <x:v>0</x:v>
      </x:c>
      <x:c r="F213" t="str">
        <x:f>IF(AND(ISNUMBER(C213),ISNUMBER(D213)),IF(E213&lt;=TOL*MAX(1,ABS(D213)),"OK","DIVERGENTE"),IF(C213=D213,"OK (não calculado: "&amp;C213&amp;")","DIVERGENTE"))</x:f>
        <x:v>OK</x:v>
      </x:c>
    </x:row>
    <x:row r="214">
      <x:c r="A214" t="inlineStr">
        <x:is>
          <x:t xml:space="preserve">LTV / CAC</x:t>
        </x:is>
      </x:c>
      <x:c r="B214" t="n">
        <x:v>9</x:v>
      </x:c>
      <x:c r="C214" s="9" t="n">
        <x:f>KPIs!L19</x:f>
        <x:v>11.25</x:v>
      </x:c>
      <x:c r="D214" s="9" t="n">
        <x:v>11.25</x:v>
      </x:c>
      <x:c r="E214" t="n">
        <x:f>IF(AND(ISNUMBER(C214),ISNUMBER(D214)),ABS(C214-D214),"")</x:f>
        <x:v>0</x:v>
      </x:c>
      <x:c r="F214" t="str">
        <x:f>IF(AND(ISNUMBER(C214),ISNUMBER(D214)),IF(E214&lt;=TOL*MAX(1,ABS(D214)),"OK","DIVERGENTE"),IF(C214=D214,"OK (não calculado: "&amp;C214&amp;")","DIVERGENTE"))</x:f>
        <x:v>OK</x:v>
      </x:c>
    </x:row>
    <x:row r="215">
      <x:c r="A215" t="inlineStr">
        <x:is>
          <x:t xml:space="preserve">LTV / CAC</x:t>
        </x:is>
      </x:c>
      <x:c r="B215" t="n">
        <x:v>10</x:v>
      </x:c>
      <x:c r="C215" s="9" t="n">
        <x:f>KPIs!M19</x:f>
        <x:v>11.25</x:v>
      </x:c>
      <x:c r="D215" s="9" t="n">
        <x:v>11.25</x:v>
      </x:c>
      <x:c r="E215" t="n">
        <x:f>IF(AND(ISNUMBER(C215),ISNUMBER(D215)),ABS(C215-D215),"")</x:f>
        <x:v>0</x:v>
      </x:c>
      <x:c r="F215" t="str">
        <x:f>IF(AND(ISNUMBER(C215),ISNUMBER(D215)),IF(E215&lt;=TOL*MAX(1,ABS(D215)),"OK","DIVERGENTE"),IF(C215=D215,"OK (não calculado: "&amp;C215&amp;")","DIVERGENTE"))</x:f>
        <x:v>OK</x:v>
      </x:c>
    </x:row>
    <x:row r="216">
      <x:c r="A216" t="inlineStr">
        <x:is>
          <x:t xml:space="preserve">LTV / CAC</x:t>
        </x:is>
      </x:c>
      <x:c r="B216" t="n">
        <x:v>11</x:v>
      </x:c>
      <x:c r="C216" s="9" t="n">
        <x:f>KPIs!N19</x:f>
        <x:v>11.25</x:v>
      </x:c>
      <x:c r="D216" s="9" t="n">
        <x:v>11.25</x:v>
      </x:c>
      <x:c r="E216" t="n">
        <x:f>IF(AND(ISNUMBER(C216),ISNUMBER(D216)),ABS(C216-D216),"")</x:f>
        <x:v>0</x:v>
      </x:c>
      <x:c r="F216" t="str">
        <x:f>IF(AND(ISNUMBER(C216),ISNUMBER(D216)),IF(E216&lt;=TOL*MAX(1,ABS(D216)),"OK","DIVERGENTE"),IF(C216=D216,"OK (não calculado: "&amp;C216&amp;")","DIVERGENTE"))</x:f>
        <x:v>OK</x:v>
      </x:c>
    </x:row>
    <x:row r="217">
      <x:c r="A217" t="inlineStr">
        <x:is>
          <x:t xml:space="preserve">LTV / CAC</x:t>
        </x:is>
      </x:c>
      <x:c r="B217" t="n">
        <x:v>12</x:v>
      </x:c>
      <x:c r="C217" s="9" t="n">
        <x:f>KPIs!O19</x:f>
        <x:v>11.25</x:v>
      </x:c>
      <x:c r="D217" s="9" t="n">
        <x:v>11.25</x:v>
      </x:c>
      <x:c r="E217" t="n">
        <x:f>IF(AND(ISNUMBER(C217),ISNUMBER(D217)),ABS(C217-D217),"")</x:f>
        <x:v>0</x:v>
      </x:c>
      <x:c r="F217" t="str">
        <x:f>IF(AND(ISNUMBER(C217),ISNUMBER(D217)),IF(E217&lt;=TOL*MAX(1,ABS(D217)),"OK","DIVERGENTE"),IF(C217=D217,"OK (não calculado: "&amp;C217&amp;")","DIVERGENTE"))</x:f>
        <x:v>OK</x:v>
      </x:c>
    </x:row>
    <x:row r="219">
      <x:c r="A219" s="5" t="inlineStr">
        <x:is>
          <x:t xml:space="preserve">Identidades das entradas (conferem se os valores de origem são coerentes)</x:t>
        </x:is>
      </x:c>
    </x:row>
    <x:row r="220">
      <x:c r="A220" s="3" t="inlineStr">
        <x:is>
          <x:t xml:space="preserve">Identidade</x:t>
        </x:is>
      </x:c>
      <x:c r="B220" s="3" t="inlineStr">
        <x:is>
          <x:t xml:space="preserve">Ano</x:t>
        </x:is>
      </x:c>
      <x:c r="C220" s="3" t="inlineStr">
        <x:is>
          <x:t xml:space="preserve">Diferença (R$)</x:t>
        </x:is>
      </x:c>
      <x:c r="D220" s="3" t="inlineStr">
        <x:is>
          <x:t xml:space="preserve"/>
        </x:is>
      </x:c>
      <x:c r="E220" s="3" t="inlineStr">
        <x:is>
          <x:t xml:space="preserve"/>
        </x:is>
      </x:c>
      <x:c r="F220" s="3" t="inlineStr">
        <x:is>
          <x:t xml:space="preserve">Situação</x:t>
        </x:is>
      </x:c>
    </x:row>
    <x:row r="221">
      <x:c r="A221" t="inlineStr">
        <x:is>
          <x:t xml:space="preserve">Total do Ativo = AC + RLP + Permanente</x:t>
        </x:is>
      </x:c>
      <x:c r="B221" t="n">
        <x:v>1</x:v>
      </x:c>
      <x:c r="C221" s="4" t="n">
        <x:f>Entradas!$E$11-(Entradas!$E$6+Entradas!$E$9+Entradas!$E$10)</x:f>
        <x:v>0.000003814697265625</x:v>
      </x:c>
      <x:c r="F221" t="str">
        <x:f>IF(ABS(C221)&lt;1,"OK","DIVERGENTE")</x:f>
        <x:v>OK</x:v>
      </x:c>
    </x:row>
    <x:row r="222">
      <x:c r="A222" t="inlineStr">
        <x:is>
          <x:t xml:space="preserve">Total do Ativo + Total do Passivo = 0</x:t>
        </x:is>
      </x:c>
      <x:c r="B222" t="n">
        <x:v>1</x:v>
      </x:c>
      <x:c r="C222" s="4" t="n">
        <x:f>Entradas!$E$11+Entradas!$E$15</x:f>
        <x:v>0.025140762329101562</x:v>
      </x:c>
      <x:c r="F222" t="str">
        <x:f>IF(ABS(C222)&lt;1,"OK","DIVERGENTE")</x:f>
        <x:v>OK</x:v>
      </x:c>
    </x:row>
    <x:row r="223">
      <x:c r="A223" t="inlineStr">
        <x:is>
          <x:t xml:space="preserve">Total do Ativo = AC + RLP + Permanente</x:t>
        </x:is>
      </x:c>
      <x:c r="B223" t="n">
        <x:v>2</x:v>
      </x:c>
      <x:c r="C223" s="4" t="n">
        <x:f>Entradas!$F$11-(Entradas!$F$6+Entradas!$F$9+Entradas!$F$10)</x:f>
        <x:v>0</x:v>
      </x:c>
      <x:c r="F223" t="str">
        <x:f>IF(ABS(C223)&lt;1,"OK","DIVERGENTE")</x:f>
        <x:v>OK</x:v>
      </x:c>
    </x:row>
    <x:row r="224">
      <x:c r="A224" t="inlineStr">
        <x:is>
          <x:t xml:space="preserve">Total do Ativo + Total do Passivo = 0</x:t>
        </x:is>
      </x:c>
      <x:c r="B224" t="n">
        <x:v>2</x:v>
      </x:c>
      <x:c r="C224" s="4" t="n">
        <x:f>Entradas!$F$11+Entradas!$F$15</x:f>
        <x:v>0.025098800659179688</x:v>
      </x:c>
      <x:c r="F224" t="str">
        <x:f>IF(ABS(C224)&lt;1,"OK","DIVERGENTE")</x:f>
        <x:v>OK</x:v>
      </x:c>
    </x:row>
    <x:row r="225">
      <x:c r="A225" t="inlineStr">
        <x:is>
          <x:t xml:space="preserve">Total do Ativo = AC + RLP + Permanente</x:t>
        </x:is>
      </x:c>
      <x:c r="B225" t="n">
        <x:v>3</x:v>
      </x:c>
      <x:c r="C225" s="4" t="n">
        <x:f>Entradas!$G$11-(Entradas!$G$6+Entradas!$G$9+Entradas!$G$10)</x:f>
        <x:v>0.0000019073486328125</x:v>
      </x:c>
      <x:c r="F225" t="str">
        <x:f>IF(ABS(C225)&lt;1,"OK","DIVERGENTE")</x:f>
        <x:v>OK</x:v>
      </x:c>
    </x:row>
    <x:row r="226">
      <x:c r="A226" t="inlineStr">
        <x:is>
          <x:t xml:space="preserve">Total do Ativo + Total do Passivo = 0</x:t>
        </x:is>
      </x:c>
      <x:c r="B226" t="n">
        <x:v>3</x:v>
      </x:c>
      <x:c r="C226" s="4" t="n">
        <x:f>Entradas!$G$11+Entradas!$G$15</x:f>
        <x:v>0.025049209594726562</x:v>
      </x:c>
      <x:c r="F226" t="str">
        <x:f>IF(ABS(C226)&lt;1,"OK","DIVERGENTE")</x:f>
        <x:v>OK</x:v>
      </x:c>
    </x:row>
    <x:row r="227">
      <x:c r="A227" t="inlineStr">
        <x:is>
          <x:t xml:space="preserve">Total do Ativo = AC + RLP + Permanente</x:t>
        </x:is>
      </x:c>
      <x:c r="B227" t="n">
        <x:v>4</x:v>
      </x:c>
      <x:c r="C227" s="4" t="n">
        <x:f>Entradas!$H$11-(Entradas!$H$6+Entradas!$H$9+Entradas!$H$10)</x:f>
        <x:v>0</x:v>
      </x:c>
      <x:c r="F227" t="str">
        <x:f>IF(ABS(C227)&lt;1,"OK","DIVERGENTE")</x:f>
        <x:v>OK</x:v>
      </x:c>
    </x:row>
    <x:row r="228">
      <x:c r="A228" t="inlineStr">
        <x:is>
          <x:t xml:space="preserve">Total do Ativo + Total do Passivo = 0</x:t>
        </x:is>
      </x:c>
      <x:c r="B228" t="n">
        <x:v>4</x:v>
      </x:c>
      <x:c r="C228" s="4" t="n">
        <x:f>Entradas!$H$11+Entradas!$H$15</x:f>
        <x:v>0.025152206420898438</x:v>
      </x:c>
      <x:c r="F228" t="str">
        <x:f>IF(ABS(C228)&lt;1,"OK","DIVERGENTE")</x:f>
        <x:v>OK</x:v>
      </x:c>
    </x:row>
    <x:row r="229">
      <x:c r="A229" t="inlineStr">
        <x:is>
          <x:t xml:space="preserve">Total do Ativo = AC + RLP + Permanente</x:t>
        </x:is>
      </x:c>
      <x:c r="B229" t="n">
        <x:v>5</x:v>
      </x:c>
      <x:c r="C229" s="4" t="n">
        <x:f>Entradas!$I$11-(Entradas!$I$6+Entradas!$I$9+Entradas!$I$10)</x:f>
        <x:v>-9.5367431640625e-7</x:v>
      </x:c>
      <x:c r="F229" t="str">
        <x:f>IF(ABS(C229)&lt;1,"OK","DIVERGENTE")</x:f>
        <x:v>OK</x:v>
      </x:c>
    </x:row>
    <x:row r="230">
      <x:c r="A230" t="inlineStr">
        <x:is>
          <x:t xml:space="preserve">Total do Ativo + Total do Passivo = 0</x:t>
        </x:is>
      </x:c>
      <x:c r="B230" t="n">
        <x:v>5</x:v>
      </x:c>
      <x:c r="C230" s="4" t="n">
        <x:f>Entradas!$I$11+Entradas!$I$15</x:f>
        <x:v>0.02510547637939453</x:v>
      </x:c>
      <x:c r="F230" t="str">
        <x:f>IF(ABS(C230)&lt;1,"OK","DIVERGENTE")</x:f>
        <x:v>OK</x:v>
      </x:c>
    </x:row>
    <x:row r="231">
      <x:c r="A231" t="inlineStr">
        <x:is>
          <x:t xml:space="preserve">Total do Ativo = AC + RLP + Permanente</x:t>
        </x:is>
      </x:c>
      <x:c r="B231" t="n">
        <x:v>6</x:v>
      </x:c>
      <x:c r="C231" s="4" t="n">
        <x:f>Entradas!$J$11-(Entradas!$J$6+Entradas!$J$9+Entradas!$J$10)</x:f>
        <x:v>0</x:v>
      </x:c>
      <x:c r="F231" t="str">
        <x:f>IF(ABS(C231)&lt;1,"OK","DIVERGENTE")</x:f>
        <x:v>OK</x:v>
      </x:c>
    </x:row>
    <x:row r="232">
      <x:c r="A232" t="inlineStr">
        <x:is>
          <x:t xml:space="preserve">Total do Ativo + Total do Passivo = 0</x:t>
        </x:is>
      </x:c>
      <x:c r="B232" t="n">
        <x:v>6</x:v>
      </x:c>
      <x:c r="C232" s="4" t="n">
        <x:f>Entradas!$J$11+Entradas!$J$15</x:f>
        <x:v>0.025032997131347656</x:v>
      </x:c>
      <x:c r="F232" t="str">
        <x:f>IF(ABS(C232)&lt;1,"OK","DIVERGENTE")</x:f>
        <x:v>OK</x:v>
      </x:c>
    </x:row>
    <x:row r="233">
      <x:c r="A233" t="inlineStr">
        <x:is>
          <x:t xml:space="preserve">Total do Ativo = AC + RLP + Permanente</x:t>
        </x:is>
      </x:c>
      <x:c r="B233" t="n">
        <x:v>7</x:v>
      </x:c>
      <x:c r="C233" s="4" t="n">
        <x:f>Entradas!$K$11-(Entradas!$K$6+Entradas!$K$9+Entradas!$K$10)</x:f>
        <x:v>0</x:v>
      </x:c>
      <x:c r="F233" t="str">
        <x:f>IF(ABS(C233)&lt;1,"OK","DIVERGENTE")</x:f>
        <x:v>OK</x:v>
      </x:c>
    </x:row>
    <x:row r="234">
      <x:c r="A234" t="inlineStr">
        <x:is>
          <x:t xml:space="preserve">Total do Ativo + Total do Passivo = 0</x:t>
        </x:is>
      </x:c>
      <x:c r="B234" t="n">
        <x:v>7</x:v>
      </x:c>
      <x:c r="C234" s="4" t="n">
        <x:f>Entradas!$K$11+Entradas!$K$15</x:f>
        <x:v>0.025101661682128906</x:v>
      </x:c>
      <x:c r="F234" t="str">
        <x:f>IF(ABS(C234)&lt;1,"OK","DIVERGENTE")</x:f>
        <x:v>OK</x:v>
      </x:c>
    </x:row>
    <x:row r="235">
      <x:c r="A235" t="inlineStr">
        <x:is>
          <x:t xml:space="preserve">Total do Ativo = AC + RLP + Permanente</x:t>
        </x:is>
      </x:c>
      <x:c r="B235" t="n">
        <x:v>8</x:v>
      </x:c>
      <x:c r="C235" s="4" t="n">
        <x:f>Entradas!$L$11-(Entradas!$L$6+Entradas!$L$9+Entradas!$L$10)</x:f>
        <x:v>0.0000019073486328125</x:v>
      </x:c>
      <x:c r="F235" t="str">
        <x:f>IF(ABS(C235)&lt;1,"OK","DIVERGENTE")</x:f>
        <x:v>OK</x:v>
      </x:c>
    </x:row>
    <x:row r="236">
      <x:c r="A236" t="inlineStr">
        <x:is>
          <x:t xml:space="preserve">Total do Ativo + Total do Passivo = 0</x:t>
        </x:is>
      </x:c>
      <x:c r="B236" t="n">
        <x:v>8</x:v>
      </x:c>
      <x:c r="C236" s="4" t="n">
        <x:f>Entradas!$L$11+Entradas!$L$15</x:f>
        <x:v>0.02509593963623047</x:v>
      </x:c>
      <x:c r="F236" t="str">
        <x:f>IF(ABS(C236)&lt;1,"OK","DIVERGENTE")</x:f>
        <x:v>OK</x:v>
      </x:c>
    </x:row>
    <x:row r="237">
      <x:c r="A237" t="inlineStr">
        <x:is>
          <x:t xml:space="preserve">Total do Ativo = AC + RLP + Permanente</x:t>
        </x:is>
      </x:c>
      <x:c r="B237" t="n">
        <x:v>9</x:v>
      </x:c>
      <x:c r="C237" s="4" t="n">
        <x:f>Entradas!$M$11-(Entradas!$M$6+Entradas!$M$9+Entradas!$M$10)</x:f>
        <x:v>-9.5367431640625e-7</x:v>
      </x:c>
      <x:c r="F237" t="str">
        <x:f>IF(ABS(C237)&lt;1,"OK","DIVERGENTE")</x:f>
        <x:v>OK</x:v>
      </x:c>
    </x:row>
    <x:row r="238">
      <x:c r="A238" t="inlineStr">
        <x:is>
          <x:t xml:space="preserve">Total do Ativo + Total do Passivo = 0</x:t>
        </x:is>
      </x:c>
      <x:c r="B238" t="n">
        <x:v>9</x:v>
      </x:c>
      <x:c r="C238" s="4" t="n">
        <x:f>Entradas!$M$11+Entradas!$M$15</x:f>
        <x:v>0.025086402893066406</x:v>
      </x:c>
      <x:c r="F238" t="str">
        <x:f>IF(ABS(C238)&lt;1,"OK","DIVERGENTE")</x:f>
        <x:v>OK</x:v>
      </x:c>
    </x:row>
    <x:row r="239">
      <x:c r="A239" t="inlineStr">
        <x:is>
          <x:t xml:space="preserve">Total do Ativo = AC + RLP + Permanente</x:t>
        </x:is>
      </x:c>
      <x:c r="B239" t="n">
        <x:v>10</x:v>
      </x:c>
      <x:c r="C239" s="4" t="n">
        <x:f>Entradas!$N$11-(Entradas!$N$6+Entradas!$N$9+Entradas!$N$10)</x:f>
        <x:v>9.5367431640625e-7</x:v>
      </x:c>
      <x:c r="F239" t="str">
        <x:f>IF(ABS(C239)&lt;1,"OK","DIVERGENTE")</x:f>
        <x:v>OK</x:v>
      </x:c>
    </x:row>
    <x:row r="240">
      <x:c r="A240" t="inlineStr">
        <x:is>
          <x:t xml:space="preserve">Total do Ativo + Total do Passivo = 0</x:t>
        </x:is>
      </x:c>
      <x:c r="B240" t="n">
        <x:v>10</x:v>
      </x:c>
      <x:c r="C240" s="4" t="n">
        <x:f>Entradas!$N$11+Entradas!$N$15</x:f>
        <x:v>0.025092124938964844</x:v>
      </x:c>
      <x:c r="F240" t="str">
        <x:f>IF(ABS(C240)&lt;1,"OK","DIVERGENTE")</x:f>
        <x:v>OK</x:v>
      </x:c>
    </x:row>
    <x:row r="241">
      <x:c r="A241" t="inlineStr">
        <x:is>
          <x:t xml:space="preserve">Total do Ativo = AC + RLP + Permanente</x:t>
        </x:is>
      </x:c>
      <x:c r="B241" t="n">
        <x:v>11</x:v>
      </x:c>
      <x:c r="C241" s="4" t="n">
        <x:f>Entradas!$O$11-(Entradas!$O$6+Entradas!$O$9+Entradas!$O$10)</x:f>
        <x:v>0.0000019073486328125</x:v>
      </x:c>
      <x:c r="F241" t="str">
        <x:f>IF(ABS(C241)&lt;1,"OK","DIVERGENTE")</x:f>
        <x:v>OK</x:v>
      </x:c>
    </x:row>
    <x:row r="242">
      <x:c r="A242" t="inlineStr">
        <x:is>
          <x:t xml:space="preserve">Total do Ativo + Total do Passivo = 0</x:t>
        </x:is>
      </x:c>
      <x:c r="B242" t="n">
        <x:v>11</x:v>
      </x:c>
      <x:c r="C242" s="4" t="n">
        <x:f>Entradas!$O$11+Entradas!$O$15</x:f>
        <x:v>0.025116920471191406</x:v>
      </x:c>
      <x:c r="F242" t="str">
        <x:f>IF(ABS(C242)&lt;1,"OK","DIVERGENTE")</x:f>
        <x:v>OK</x:v>
      </x:c>
    </x:row>
    <x:row r="243">
      <x:c r="A243" t="inlineStr">
        <x:is>
          <x:t xml:space="preserve">Total do Ativo = AC + RLP + Permanente</x:t>
        </x:is>
      </x:c>
      <x:c r="B243" t="n">
        <x:v>12</x:v>
      </x:c>
      <x:c r="C243" s="4" t="n">
        <x:f>Entradas!$P$11-(Entradas!$P$6+Entradas!$P$9+Entradas!$P$10)</x:f>
        <x:v>-8.78702849149704e-7</x:v>
      </x:c>
      <x:c r="F243" t="str">
        <x:f>IF(ABS(C243)&lt;1,"OK","DIVERGENTE")</x:f>
        <x:v>OK</x:v>
      </x:c>
    </x:row>
    <x:row r="244">
      <x:c r="A244" t="inlineStr">
        <x:is>
          <x:t xml:space="preserve">Total do Ativo + Total do Passivo = 0</x:t>
        </x:is>
      </x:c>
      <x:c r="B244" t="n">
        <x:v>12</x:v>
      </x:c>
      <x:c r="C244" s="4" t="n">
        <x:f>Entradas!$P$11+Entradas!$P$15</x:f>
        <x:v>-0.025108769070357084</x:v>
      </x:c>
      <x:c r="F244" t="str">
        <x:f>IF(ABS(C244)&lt;1,"OK","DIVERGENTE")</x:f>
        <x:v>OK</x:v>
      </x:c>
    </x:row>
    <x:row r="246">
      <x:c r="A246" s="5" t="inlineStr">
        <x:is>
          <x:t xml:space="preserve">Resultado geral</x:t>
        </x:is>
      </x:c>
      <x:c r="F246" s="5" t="str">
        <x:f>IF(AND(COUNTIF(F2:F217,"OK")+COUNTIF(F2:F217,"OK (não calculado: pendente: PC com sinal positivo)")+COUNTIF(F2:F217,"OK (não calculado: indisponível: conta ausente)")=216,COUNTIF(F221:F244,"OK")=24),"VALIDAÇÃO APROVADA","HÁ DIVERGÊNCIAS")</x:f>
        <x:v>VALIDAÇÃO APROVADA</x:v>
      </x:c>
    </x:row>
  </x:sheetData>
  <x:pageMargins left="0.7" right="0.7" top="0.75" bottom="0.75" header="0.3" footer="0.3"/>
</x:worksheet>
</file>